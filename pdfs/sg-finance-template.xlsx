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essh\Downloads\Claude-Setup\lms\solid-ground\"/>
    </mc:Choice>
  </mc:AlternateContent>
  <xr:revisionPtr revIDLastSave="0" documentId="13_ncr:1_{601FA871-3063-4979-BE04-B4293BD6000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etup" sheetId="1" r:id="rId1"/>
    <sheet name="Household Budget" sheetId="2" r:id="rId2"/>
    <sheet name="Shared Expenses" sheetId="3" r:id="rId3"/>
    <sheet name="Service Pricing" sheetId="4" r:id="rId4"/>
    <sheet name="Sales Forecast" sheetId="5" r:id="rId5"/>
    <sheet name="Marketing Plan" sheetId="6" r:id="rId6"/>
    <sheet name="Cash Flow Budget" sheetId="7" r:id="rId7"/>
    <sheet name="Profit &amp; Loss" sheetId="8" r:id="rId8"/>
    <sheet name="Dashboard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9" l="1"/>
  <c r="B8" i="9"/>
  <c r="B7" i="9"/>
  <c r="B6" i="9"/>
  <c r="B5" i="9"/>
  <c r="B38" i="7"/>
  <c r="N37" i="7"/>
  <c r="N36" i="7"/>
  <c r="N35" i="7"/>
  <c r="N34" i="7"/>
  <c r="N33" i="7"/>
  <c r="N32" i="7"/>
  <c r="N31" i="7"/>
  <c r="N30" i="7"/>
  <c r="N29" i="7"/>
  <c r="N28" i="7"/>
  <c r="N27" i="7"/>
  <c r="N26" i="7"/>
  <c r="N25" i="7"/>
  <c r="N24" i="7"/>
  <c r="N23" i="7"/>
  <c r="N22" i="7"/>
  <c r="N21" i="7"/>
  <c r="N20" i="7"/>
  <c r="B19" i="7"/>
  <c r="N18" i="7"/>
  <c r="N38" i="7" s="1"/>
  <c r="B14" i="9" s="1"/>
  <c r="M13" i="7"/>
  <c r="L13" i="7"/>
  <c r="K13" i="7"/>
  <c r="J13" i="7"/>
  <c r="I13" i="7"/>
  <c r="H13" i="7"/>
  <c r="G13" i="7"/>
  <c r="F13" i="7"/>
  <c r="E13" i="7"/>
  <c r="D13" i="7"/>
  <c r="C13" i="7"/>
  <c r="B13" i="7"/>
  <c r="N13" i="7" s="1"/>
  <c r="B12" i="7"/>
  <c r="B41" i="7" s="1"/>
  <c r="M8" i="7"/>
  <c r="M43" i="7" s="1"/>
  <c r="L8" i="7"/>
  <c r="L43" i="7" s="1"/>
  <c r="K8" i="7"/>
  <c r="K43" i="7" s="1"/>
  <c r="J8" i="7"/>
  <c r="J43" i="7" s="1"/>
  <c r="I8" i="7"/>
  <c r="I43" i="7" s="1"/>
  <c r="H8" i="7"/>
  <c r="H43" i="7" s="1"/>
  <c r="G8" i="7"/>
  <c r="G43" i="7" s="1"/>
  <c r="F8" i="7"/>
  <c r="F43" i="7" s="1"/>
  <c r="E8" i="7"/>
  <c r="E43" i="7" s="1"/>
  <c r="D8" i="7"/>
  <c r="D43" i="7" s="1"/>
  <c r="C8" i="7"/>
  <c r="C43" i="7" s="1"/>
  <c r="B8" i="7"/>
  <c r="B43" i="7" s="1"/>
  <c r="N7" i="7"/>
  <c r="N6" i="7"/>
  <c r="C5" i="7"/>
  <c r="B5" i="7"/>
  <c r="B14" i="7" s="1"/>
  <c r="N26" i="6"/>
  <c r="M26" i="6"/>
  <c r="M19" i="7" s="1"/>
  <c r="M38" i="7" s="1"/>
  <c r="L26" i="6"/>
  <c r="L19" i="7" s="1"/>
  <c r="L38" i="7" s="1"/>
  <c r="K26" i="6"/>
  <c r="K19" i="7" s="1"/>
  <c r="K38" i="7" s="1"/>
  <c r="J26" i="6"/>
  <c r="J19" i="7" s="1"/>
  <c r="J38" i="7" s="1"/>
  <c r="I26" i="6"/>
  <c r="I19" i="7" s="1"/>
  <c r="I38" i="7" s="1"/>
  <c r="H26" i="6"/>
  <c r="H19" i="7" s="1"/>
  <c r="H38" i="7" s="1"/>
  <c r="G26" i="6"/>
  <c r="G19" i="7" s="1"/>
  <c r="G38" i="7" s="1"/>
  <c r="F26" i="6"/>
  <c r="F19" i="7" s="1"/>
  <c r="F38" i="7" s="1"/>
  <c r="E26" i="6"/>
  <c r="E19" i="7" s="1"/>
  <c r="E38" i="7" s="1"/>
  <c r="D26" i="6"/>
  <c r="D19" i="7" s="1"/>
  <c r="D38" i="7" s="1"/>
  <c r="C26" i="6"/>
  <c r="C19" i="7" s="1"/>
  <c r="C38" i="7" s="1"/>
  <c r="O25" i="6"/>
  <c r="O24" i="6"/>
  <c r="O23" i="6"/>
  <c r="O22" i="6"/>
  <c r="O21" i="6"/>
  <c r="O20" i="6"/>
  <c r="O18" i="6"/>
  <c r="O17" i="6"/>
  <c r="O16" i="6"/>
  <c r="O14" i="6"/>
  <c r="O13" i="6"/>
  <c r="O12" i="6"/>
  <c r="O11" i="6"/>
  <c r="O9" i="6"/>
  <c r="O26" i="6" s="1"/>
  <c r="N19" i="7" s="1"/>
  <c r="B12" i="8" s="1"/>
  <c r="O8" i="6"/>
  <c r="O7" i="6"/>
  <c r="O6" i="6"/>
  <c r="O39" i="5"/>
  <c r="G39" i="5"/>
  <c r="G12" i="7" s="1"/>
  <c r="N38" i="5"/>
  <c r="M38" i="5"/>
  <c r="L38" i="5"/>
  <c r="K38" i="5"/>
  <c r="J38" i="5"/>
  <c r="I38" i="5"/>
  <c r="H38" i="5"/>
  <c r="G38" i="5"/>
  <c r="F38" i="5"/>
  <c r="E38" i="5"/>
  <c r="D38" i="5"/>
  <c r="C38" i="5"/>
  <c r="O38" i="5" s="1"/>
  <c r="A38" i="5"/>
  <c r="N37" i="5"/>
  <c r="M37" i="5"/>
  <c r="L37" i="5"/>
  <c r="K37" i="5"/>
  <c r="J37" i="5"/>
  <c r="I37" i="5"/>
  <c r="H37" i="5"/>
  <c r="G37" i="5"/>
  <c r="F37" i="5"/>
  <c r="E37" i="5"/>
  <c r="D37" i="5"/>
  <c r="C37" i="5"/>
  <c r="O37" i="5" s="1"/>
  <c r="A37" i="5"/>
  <c r="N36" i="5"/>
  <c r="M36" i="5"/>
  <c r="L36" i="5"/>
  <c r="K36" i="5"/>
  <c r="J36" i="5"/>
  <c r="I36" i="5"/>
  <c r="H36" i="5"/>
  <c r="G36" i="5"/>
  <c r="F36" i="5"/>
  <c r="E36" i="5"/>
  <c r="D36" i="5"/>
  <c r="C36" i="5"/>
  <c r="O36" i="5" s="1"/>
  <c r="A36" i="5"/>
  <c r="N35" i="5"/>
  <c r="M35" i="5"/>
  <c r="L35" i="5"/>
  <c r="K35" i="5"/>
  <c r="J35" i="5"/>
  <c r="I35" i="5"/>
  <c r="H35" i="5"/>
  <c r="G35" i="5"/>
  <c r="F35" i="5"/>
  <c r="E35" i="5"/>
  <c r="D35" i="5"/>
  <c r="C35" i="5"/>
  <c r="O35" i="5" s="1"/>
  <c r="A35" i="5"/>
  <c r="N34" i="5"/>
  <c r="M34" i="5"/>
  <c r="L34" i="5"/>
  <c r="K34" i="5"/>
  <c r="J34" i="5"/>
  <c r="I34" i="5"/>
  <c r="H34" i="5"/>
  <c r="G34" i="5"/>
  <c r="F34" i="5"/>
  <c r="E34" i="5"/>
  <c r="D34" i="5"/>
  <c r="C34" i="5"/>
  <c r="O34" i="5" s="1"/>
  <c r="A34" i="5"/>
  <c r="N33" i="5"/>
  <c r="M33" i="5"/>
  <c r="L33" i="5"/>
  <c r="K33" i="5"/>
  <c r="J33" i="5"/>
  <c r="I33" i="5"/>
  <c r="H33" i="5"/>
  <c r="G33" i="5"/>
  <c r="F33" i="5"/>
  <c r="E33" i="5"/>
  <c r="D33" i="5"/>
  <c r="C33" i="5"/>
  <c r="O33" i="5" s="1"/>
  <c r="A33" i="5"/>
  <c r="N32" i="5"/>
  <c r="M32" i="5"/>
  <c r="L32" i="5"/>
  <c r="K32" i="5"/>
  <c r="J32" i="5"/>
  <c r="I32" i="5"/>
  <c r="I39" i="5" s="1"/>
  <c r="I12" i="7" s="1"/>
  <c r="I41" i="7" s="1"/>
  <c r="H32" i="5"/>
  <c r="H39" i="5" s="1"/>
  <c r="H12" i="7" s="1"/>
  <c r="H41" i="7" s="1"/>
  <c r="G32" i="5"/>
  <c r="F32" i="5"/>
  <c r="E32" i="5"/>
  <c r="D32" i="5"/>
  <c r="C32" i="5"/>
  <c r="O32" i="5" s="1"/>
  <c r="A32" i="5"/>
  <c r="N31" i="5"/>
  <c r="M31" i="5"/>
  <c r="L31" i="5"/>
  <c r="K31" i="5"/>
  <c r="K39" i="5" s="1"/>
  <c r="K12" i="7" s="1"/>
  <c r="K41" i="7" s="1"/>
  <c r="J31" i="5"/>
  <c r="J39" i="5" s="1"/>
  <c r="J12" i="7" s="1"/>
  <c r="J41" i="7" s="1"/>
  <c r="I31" i="5"/>
  <c r="H31" i="5"/>
  <c r="G31" i="5"/>
  <c r="F31" i="5"/>
  <c r="E31" i="5"/>
  <c r="D31" i="5"/>
  <c r="C31" i="5"/>
  <c r="O31" i="5" s="1"/>
  <c r="A31" i="5"/>
  <c r="N30" i="5"/>
  <c r="M30" i="5"/>
  <c r="L30" i="5"/>
  <c r="O30" i="5" s="1"/>
  <c r="K30" i="5"/>
  <c r="J30" i="5"/>
  <c r="I30" i="5"/>
  <c r="H30" i="5"/>
  <c r="G30" i="5"/>
  <c r="F30" i="5"/>
  <c r="E30" i="5"/>
  <c r="D30" i="5"/>
  <c r="C30" i="5"/>
  <c r="A30" i="5"/>
  <c r="N29" i="5"/>
  <c r="N39" i="5" s="1"/>
  <c r="M29" i="5"/>
  <c r="M39" i="5" s="1"/>
  <c r="M12" i="7" s="1"/>
  <c r="M41" i="7" s="1"/>
  <c r="L29" i="5"/>
  <c r="L39" i="5" s="1"/>
  <c r="L12" i="7" s="1"/>
  <c r="L41" i="7" s="1"/>
  <c r="K29" i="5"/>
  <c r="J29" i="5"/>
  <c r="I29" i="5"/>
  <c r="H29" i="5"/>
  <c r="G29" i="5"/>
  <c r="F29" i="5"/>
  <c r="F39" i="5" s="1"/>
  <c r="F12" i="7" s="1"/>
  <c r="E29" i="5"/>
  <c r="E39" i="5" s="1"/>
  <c r="E12" i="7" s="1"/>
  <c r="D29" i="5"/>
  <c r="D39" i="5" s="1"/>
  <c r="D12" i="7" s="1"/>
  <c r="D41" i="7" s="1"/>
  <c r="C29" i="5"/>
  <c r="C39" i="5" s="1"/>
  <c r="C12" i="7" s="1"/>
  <c r="C41" i="7" s="1"/>
  <c r="A29" i="5"/>
  <c r="N24" i="5"/>
  <c r="F24" i="5"/>
  <c r="F5" i="7" s="1"/>
  <c r="E24" i="5"/>
  <c r="E5" i="7" s="1"/>
  <c r="D24" i="5"/>
  <c r="D5" i="7" s="1"/>
  <c r="C24" i="5"/>
  <c r="B23" i="5"/>
  <c r="P16" i="5"/>
  <c r="B12" i="9" s="1"/>
  <c r="N16" i="5"/>
  <c r="M16" i="5"/>
  <c r="L16" i="5"/>
  <c r="M24" i="5" s="1"/>
  <c r="M5" i="7" s="1"/>
  <c r="K16" i="5"/>
  <c r="K24" i="5" s="1"/>
  <c r="K5" i="7" s="1"/>
  <c r="J16" i="5"/>
  <c r="J24" i="5" s="1"/>
  <c r="J5" i="7" s="1"/>
  <c r="I16" i="5"/>
  <c r="I24" i="5" s="1"/>
  <c r="I5" i="7" s="1"/>
  <c r="H16" i="5"/>
  <c r="H24" i="5" s="1"/>
  <c r="H5" i="7" s="1"/>
  <c r="G16" i="5"/>
  <c r="G24" i="5" s="1"/>
  <c r="G5" i="7" s="1"/>
  <c r="F16" i="5"/>
  <c r="E16" i="5"/>
  <c r="D16" i="5"/>
  <c r="C16" i="5"/>
  <c r="O15" i="5"/>
  <c r="O14" i="5"/>
  <c r="O13" i="5"/>
  <c r="O12" i="5"/>
  <c r="O11" i="5"/>
  <c r="O10" i="5"/>
  <c r="O9" i="5"/>
  <c r="O8" i="5"/>
  <c r="O7" i="5"/>
  <c r="O6" i="5"/>
  <c r="B27" i="4"/>
  <c r="B26" i="4"/>
  <c r="B25" i="4"/>
  <c r="B22" i="4"/>
  <c r="B21" i="4"/>
  <c r="B19" i="4"/>
  <c r="B18" i="4"/>
  <c r="B8" i="4"/>
  <c r="B7" i="4"/>
  <c r="E25" i="3"/>
  <c r="B25" i="3"/>
  <c r="E24" i="3"/>
  <c r="D24" i="3"/>
  <c r="F24" i="3" s="1"/>
  <c r="F23" i="3"/>
  <c r="E23" i="3"/>
  <c r="D23" i="3"/>
  <c r="E22" i="3"/>
  <c r="D22" i="3"/>
  <c r="F22" i="3" s="1"/>
  <c r="E21" i="3"/>
  <c r="D21" i="3"/>
  <c r="F21" i="3" s="1"/>
  <c r="E20" i="3"/>
  <c r="D20" i="3"/>
  <c r="F20" i="3" s="1"/>
  <c r="F25" i="3" s="1"/>
  <c r="F19" i="3"/>
  <c r="E19" i="3"/>
  <c r="D19" i="3"/>
  <c r="B15" i="3"/>
  <c r="E14" i="3"/>
  <c r="D14" i="3"/>
  <c r="F14" i="3" s="1"/>
  <c r="E13" i="3"/>
  <c r="D13" i="3"/>
  <c r="F13" i="3" s="1"/>
  <c r="E12" i="3"/>
  <c r="D12" i="3"/>
  <c r="F12" i="3" s="1"/>
  <c r="E11" i="3"/>
  <c r="D11" i="3"/>
  <c r="F11" i="3" s="1"/>
  <c r="E10" i="3"/>
  <c r="D10" i="3"/>
  <c r="F10" i="3" s="1"/>
  <c r="E9" i="3"/>
  <c r="D9" i="3"/>
  <c r="F9" i="3" s="1"/>
  <c r="E8" i="3"/>
  <c r="D8" i="3"/>
  <c r="F8" i="3" s="1"/>
  <c r="E7" i="3"/>
  <c r="D7" i="3"/>
  <c r="F7" i="3" s="1"/>
  <c r="E6" i="3"/>
  <c r="E15" i="3" s="1"/>
  <c r="D6" i="3"/>
  <c r="F6" i="3" s="1"/>
  <c r="N44" i="2"/>
  <c r="M44" i="2"/>
  <c r="D44" i="2"/>
  <c r="C44" i="2"/>
  <c r="K42" i="2"/>
  <c r="I42" i="2"/>
  <c r="H42" i="2"/>
  <c r="G42" i="2"/>
  <c r="F42" i="2"/>
  <c r="E42" i="2"/>
  <c r="D42" i="2"/>
  <c r="B42" i="2"/>
  <c r="B44" i="2" s="1"/>
  <c r="M41" i="2"/>
  <c r="L41" i="2"/>
  <c r="L44" i="2" s="1"/>
  <c r="K41" i="2"/>
  <c r="K44" i="2" s="1"/>
  <c r="J41" i="2"/>
  <c r="J44" i="2" s="1"/>
  <c r="I41" i="2"/>
  <c r="I44" i="2" s="1"/>
  <c r="H41" i="2"/>
  <c r="H44" i="2" s="1"/>
  <c r="G41" i="2"/>
  <c r="G44" i="2" s="1"/>
  <c r="F41" i="2"/>
  <c r="F44" i="2" s="1"/>
  <c r="E41" i="2"/>
  <c r="E44" i="2" s="1"/>
  <c r="D41" i="2"/>
  <c r="C41" i="2"/>
  <c r="B41" i="2"/>
  <c r="N40" i="2"/>
  <c r="B23" i="9" s="1"/>
  <c r="N39" i="2"/>
  <c r="N38" i="2"/>
  <c r="N37" i="2"/>
  <c r="N36" i="2"/>
  <c r="N34" i="2"/>
  <c r="N33" i="2"/>
  <c r="N31" i="2"/>
  <c r="N30" i="2"/>
  <c r="N29" i="2"/>
  <c r="N26" i="2"/>
  <c r="N25" i="2"/>
  <c r="N24" i="2"/>
  <c r="N23" i="2"/>
  <c r="N22" i="2"/>
  <c r="N20" i="2"/>
  <c r="N19" i="2"/>
  <c r="N18" i="2"/>
  <c r="N17" i="2"/>
  <c r="N16" i="2"/>
  <c r="N15" i="2"/>
  <c r="N41" i="2" s="1"/>
  <c r="M11" i="2"/>
  <c r="M42" i="2" s="1"/>
  <c r="L11" i="2"/>
  <c r="L42" i="2" s="1"/>
  <c r="K11" i="2"/>
  <c r="J11" i="2"/>
  <c r="J42" i="2" s="1"/>
  <c r="I11" i="2"/>
  <c r="H11" i="2"/>
  <c r="G11" i="2"/>
  <c r="F11" i="2"/>
  <c r="E11" i="2"/>
  <c r="D11" i="2"/>
  <c r="C11" i="2"/>
  <c r="C42" i="2" s="1"/>
  <c r="B11" i="2"/>
  <c r="N10" i="2"/>
  <c r="N9" i="2"/>
  <c r="N8" i="2"/>
  <c r="N7" i="2"/>
  <c r="N11" i="2" s="1"/>
  <c r="N6" i="2"/>
  <c r="B32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1" i="8"/>
  <c r="B30" i="8" s="1"/>
  <c r="B7" i="8"/>
  <c r="B4" i="8"/>
  <c r="D14" i="7" l="1"/>
  <c r="D9" i="7"/>
  <c r="D42" i="7" s="1"/>
  <c r="H9" i="7"/>
  <c r="H42" i="7" s="1"/>
  <c r="H14" i="7"/>
  <c r="E41" i="7"/>
  <c r="F41" i="7"/>
  <c r="G9" i="7"/>
  <c r="G14" i="7"/>
  <c r="B24" i="9"/>
  <c r="B22" i="9"/>
  <c r="N42" i="2"/>
  <c r="G41" i="7"/>
  <c r="K14" i="7"/>
  <c r="K9" i="7"/>
  <c r="K42" i="7" s="1"/>
  <c r="O24" i="5"/>
  <c r="E14" i="7"/>
  <c r="E9" i="7"/>
  <c r="E42" i="7" s="1"/>
  <c r="F9" i="7"/>
  <c r="F42" i="7" s="1"/>
  <c r="F14" i="7"/>
  <c r="F15" i="3"/>
  <c r="I9" i="7"/>
  <c r="I42" i="7" s="1"/>
  <c r="I14" i="7"/>
  <c r="J9" i="7"/>
  <c r="J42" i="7" s="1"/>
  <c r="J14" i="7"/>
  <c r="M14" i="7"/>
  <c r="M9" i="7"/>
  <c r="M42" i="7" s="1"/>
  <c r="C14" i="7"/>
  <c r="N8" i="7"/>
  <c r="O29" i="5"/>
  <c r="B9" i="7"/>
  <c r="L24" i="5"/>
  <c r="L5" i="7" s="1"/>
  <c r="C9" i="7"/>
  <c r="C42" i="7" s="1"/>
  <c r="N12" i="7"/>
  <c r="N41" i="7" s="1"/>
  <c r="B5" i="8" l="1"/>
  <c r="B6" i="8" s="1"/>
  <c r="B8" i="8" s="1"/>
  <c r="N43" i="7"/>
  <c r="L14" i="7"/>
  <c r="L9" i="7"/>
  <c r="L42" i="7" s="1"/>
  <c r="G42" i="7"/>
  <c r="B42" i="7"/>
  <c r="B45" i="7" s="1"/>
  <c r="C45" i="7" s="1"/>
  <c r="D45" i="7" s="1"/>
  <c r="E45" i="7" s="1"/>
  <c r="F45" i="7" s="1"/>
  <c r="N9" i="7"/>
  <c r="N42" i="7" s="1"/>
  <c r="N5" i="7"/>
  <c r="N14" i="7" s="1"/>
  <c r="B31" i="8" l="1"/>
  <c r="B33" i="8" s="1"/>
  <c r="B13" i="9"/>
  <c r="G45" i="7"/>
  <c r="H45" i="7" s="1"/>
  <c r="I45" i="7" s="1"/>
  <c r="J45" i="7" s="1"/>
  <c r="K45" i="7" s="1"/>
  <c r="L45" i="7" s="1"/>
  <c r="M45" i="7" s="1"/>
  <c r="N45" i="7" l="1"/>
  <c r="B17" i="9"/>
  <c r="B15" i="9"/>
  <c r="B36" i="8"/>
  <c r="B38" i="8" l="1"/>
  <c r="B37" i="8"/>
  <c r="B39" i="8" s="1"/>
  <c r="B40" i="8" s="1"/>
  <c r="B16" i="9" s="1"/>
  <c r="P12" i="5"/>
  <c r="P9" i="5"/>
  <c r="P7" i="5"/>
  <c r="P10" i="5"/>
  <c r="P13" i="5"/>
  <c r="P15" i="5"/>
  <c r="P8" i="5"/>
  <c r="P14" i="5"/>
  <c r="O16" i="5"/>
  <c r="P6" i="5"/>
  <c r="P11" i="5"/>
</calcChain>
</file>

<file path=xl/sharedStrings.xml><?xml version="1.0" encoding="utf-8"?>
<sst xmlns="http://schemas.openxmlformats.org/spreadsheetml/2006/main" count="339" uniqueCount="247">
  <si>
    <t>PROFIT &amp; LOSS STATEMENT - Year 1</t>
  </si>
  <si>
    <t>INCOME</t>
  </si>
  <si>
    <t>Total Sales</t>
  </si>
  <si>
    <t>Less: GST collected (if registered)</t>
  </si>
  <si>
    <t>Net Sales (excl. GST)</t>
  </si>
  <si>
    <t>Less: Variable costs</t>
  </si>
  <si>
    <t>CONTRIBUTION MARGIN</t>
  </si>
  <si>
    <t>OVERHEAD EXPENSES</t>
  </si>
  <si>
    <t>Accountant / bookkeeper</t>
  </si>
  <si>
    <t>Marketing</t>
  </si>
  <si>
    <t>Electricity / gas</t>
  </si>
  <si>
    <t>Postage / courier</t>
  </si>
  <si>
    <t>Rent (studio / clinic / market stall)</t>
  </si>
  <si>
    <t>Licenses &amp; permits</t>
  </si>
  <si>
    <t>Insurance - professional indemnity</t>
  </si>
  <si>
    <t>Insurance - public liability</t>
  </si>
  <si>
    <t>Phone / internet / mobile (business %)</t>
  </si>
  <si>
    <t>Fuel (business %)</t>
  </si>
  <si>
    <t>Vehicle costs (business %)</t>
  </si>
  <si>
    <t>Bank charges</t>
  </si>
  <si>
    <t>Subscriptions / software</t>
  </si>
  <si>
    <t>Professional development / training</t>
  </si>
  <si>
    <t>Spare 1</t>
  </si>
  <si>
    <t>Spare 2</t>
  </si>
  <si>
    <t>Spare 3</t>
  </si>
  <si>
    <t>(spare 4)</t>
  </si>
  <si>
    <t>Personal super contributions</t>
  </si>
  <si>
    <t>Total Overhead Expenses</t>
  </si>
  <si>
    <t>NET PROFIT BEFORE DRAWINGS</t>
  </si>
  <si>
    <t>Less: Drawings</t>
  </si>
  <si>
    <t>NET PROFIT BEFORE TAX</t>
  </si>
  <si>
    <t>TAX CALCULATION (2024-25 ATO Rates - Sole Trader)</t>
  </si>
  <si>
    <t>Taxable income</t>
  </si>
  <si>
    <t>Estimated income tax</t>
  </si>
  <si>
    <t>Medicare Levy (2%)</t>
  </si>
  <si>
    <t>Total tax payable</t>
  </si>
  <si>
    <t>NET PROFIT AFTER TAX</t>
  </si>
  <si>
    <t>SOLID GROUND - Business Setup</t>
  </si>
  <si>
    <t>Fill in this sheet first. Your details flow through to all other sheets.</t>
  </si>
  <si>
    <t>Business name</t>
  </si>
  <si>
    <t>Your trading name</t>
  </si>
  <si>
    <t>Owner name</t>
  </si>
  <si>
    <t>Your full name</t>
  </si>
  <si>
    <t>Business start date</t>
  </si>
  <si>
    <t>When you started or plan to start</t>
  </si>
  <si>
    <t>Business structure</t>
  </si>
  <si>
    <t>Sole Trader</t>
  </si>
  <si>
    <t>Sole Trader / Partnership / Company</t>
  </si>
  <si>
    <t>ABN</t>
  </si>
  <si>
    <t>11 digits - e.g. 12 345 678 901</t>
  </si>
  <si>
    <t>GST registered?</t>
  </si>
  <si>
    <t>No</t>
  </si>
  <si>
    <t>Yes or No</t>
  </si>
  <si>
    <t>GST rate</t>
  </si>
  <si>
    <t>Default 10% - only applies if GST registered</t>
  </si>
  <si>
    <t>Tax-free threshold</t>
  </si>
  <si>
    <t>2024-25: $18,200 - income below this is tax-free</t>
  </si>
  <si>
    <t>HOUSEHOLD BUDGET</t>
  </si>
  <si>
    <t>This sheet is about YOUR home finances, not the business. Understanding what you need personally each month helps you know what the business needs to bring in.</t>
  </si>
  <si>
    <t>Category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</si>
  <si>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</si>
  <si>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</si>
  <si>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</si>
  <si>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</si>
  <si>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</si>
  <si>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</si>
  <si>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</si>
  <si>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</si>
  <si>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</si>
  <si>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</si>
  <si>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</si>
  <si>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</si>
  <si>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 Total</t>
  </si>
  <si>
    <t>Casual/Part-time wages</t>
  </si>
  <si>
    <t>Government payments (FTB, Carers, other)</t>
  </si>
  <si>
    <t>Business drawings (from this business)</t>
  </si>
  <si>
    <t>Other income</t>
  </si>
  <si>
    <t>Child support / maintenance</t>
  </si>
  <si>
    <t>TOTAL INCOME</t>
  </si>
  <si>
    <t>EXPENSES</t>
  </si>
  <si>
    <t>HOME</t>
  </si>
  <si>
    <t>Rent or mortgage</t>
  </si>
  <si>
    <t>Groceries</t>
  </si>
  <si>
    <t>Gas &amp; electricity</t>
  </si>
  <si>
    <t>Water</t>
  </si>
  <si>
    <t>Home insurance</t>
  </si>
  <si>
    <t>School fees / childcare</t>
  </si>
  <si>
    <t>PERSONAL</t>
  </si>
  <si>
    <t>Clothing</t>
  </si>
  <si>
    <t>Medical / health insurance</t>
  </si>
  <si>
    <t>Entertainment</t>
  </si>
  <si>
    <t>Pets</t>
  </si>
  <si>
    <t>Personal care</t>
  </si>
  <si>
    <t>Professional development / courses</t>
  </si>
  <si>
    <t>TRANSPORT</t>
  </si>
  <si>
    <t>Fuel</t>
  </si>
  <si>
    <t>Vehicle insurance &amp; registration</t>
  </si>
  <si>
    <t>Vehicle maintenance</t>
  </si>
  <si>
    <t>COMMUNICATION</t>
  </si>
  <si>
    <t>Phone (home/mobile)</t>
  </si>
  <si>
    <t>Internet</t>
  </si>
  <si>
    <t>DEBT PAYMENTS</t>
  </si>
  <si>
    <t>Credit card minimum payments</t>
  </si>
  <si>
    <t>Personal loan repayments</t>
  </si>
  <si>
    <t>Other debt</t>
  </si>
  <si>
    <t>(spare - add your own)</t>
  </si>
  <si>
    <t>TOTAL EXPENSES</t>
  </si>
  <si>
    <t>SURPLUS / DEFICIT</t>
  </si>
  <si>
    <t>Opening bank balance</t>
  </si>
  <si>
    <t>Running bank balance</t>
  </si>
  <si>
    <t>SHARED EXPENSES - Personal vs Business Split</t>
  </si>
  <si>
    <t>If you use something for both personal and business purposes, split it here. Only the business % is tax-deductible.</t>
  </si>
  <si>
    <t>ONGOING SHARED EXPENSES</t>
  </si>
  <si>
    <t>Item</t>
  </si>
  <si>
    <t>Monthly Cost</t>
  </si>
  <si>
    <t>% Personal</t>
  </si>
  <si>
    <t>% Business</t>
  </si>
  <si>
    <t>$ Personal/month</t>
  </si>
  <si>
    <t>$ Business/month</t>
  </si>
  <si>
    <t>Home phone</t>
  </si>
  <si>
    <t>Mobile phone</t>
  </si>
  <si>
    <t>Motor vehicle - insurance</t>
  </si>
  <si>
    <t>Motor vehicle - registration</t>
  </si>
  <si>
    <t>Motor vehicle - maintenance/fuel</t>
  </si>
  <si>
    <t>Home office (utilities portion)</t>
  </si>
  <si>
    <t>TOTAL</t>
  </si>
  <si>
    <t>SHARED ASSETS (brought into / used in business)</t>
  </si>
  <si>
    <t>Value</t>
  </si>
  <si>
    <t>$ Personal</t>
  </si>
  <si>
    <t>$ Business</t>
  </si>
  <si>
    <t>Furniture &amp; equipment</t>
  </si>
  <si>
    <t>Computer / laptop</t>
  </si>
  <si>
    <t>Motor vehicle</t>
  </si>
  <si>
    <t>Tools / equipment</t>
  </si>
  <si>
    <t>Spare</t>
  </si>
  <si>
    <t>Service Pricing Calculator</t>
  </si>
  <si>
    <t>Module 6 - Solid Ground  |  Fill in the yellow cells</t>
  </si>
  <si>
    <t>STEP 1 — Your weekly expenses</t>
  </si>
  <si>
    <t>Weekly business expenses</t>
  </si>
  <si>
    <t>Rent, insurance, software, subscriptions, supplies</t>
  </si>
  <si>
    <t>Weekly personal expenses</t>
  </si>
  <si>
    <t>Rent/mortgage, groceries, bills - what you need to live on</t>
  </si>
  <si>
    <t>Business expenses target (first goal)</t>
  </si>
  <si>
    <t>Full income target (business + personal)</t>
  </si>
  <si>
    <t>STEP 2 — Your hourly rate</t>
  </si>
  <si>
    <t>My hourly rate (current or considering)</t>
  </si>
  <si>
    <t>What you charge per hour or per session</t>
  </si>
  <si>
    <t>STEP 3 — Realistic client hours per week</t>
  </si>
  <si>
    <t>Hours I CAN see clients</t>
  </si>
  <si>
    <t>Max available hours</t>
  </si>
  <si>
    <t>Hours I WANT to see clients</t>
  </si>
  <si>
    <t>What feels right and sustainable</t>
  </si>
  <si>
    <t>STEP 4 — What your rate earns you</t>
  </si>
  <si>
    <t>Income at your rate x hours you CAN work</t>
  </si>
  <si>
    <t>Income at your rate x hours you WANT to work</t>
  </si>
  <si>
    <t>Hours needed to cover business expenses (at your rate)</t>
  </si>
  <si>
    <t>Hours needed to cover full expenses (at your rate)</t>
  </si>
  <si>
    <t>STEP 5 — Gap check</t>
  </si>
  <si>
    <t>Does your rate cover business expenses at WANT hours?</t>
  </si>
  <si>
    <t>Rate needed to cover business expenses at WANT hours</t>
  </si>
  <si>
    <t>Rate needed to cover FULL expenses at WANT hours</t>
  </si>
  <si>
    <t>Your starting price is not your forever price. Begin with a number you can say without flinching. Revisit after 6-12 months.</t>
  </si>
  <si>
    <t>SALES FORECAST</t>
  </si>
  <si>
    <t>List every service or product you plan to sell. Be realistic - start with conservative estimates.</t>
  </si>
  <si>
    <t>SALES - Monthly Units Sold</t>
  </si>
  <si>
    <t>Service / Product</t>
  </si>
  <si>
    <t>Price per unit</t>
  </si>
  <si>
    <t>% of Sales</t>
  </si>
  <si>
    <t>Service/Product 1</t>
  </si>
  <si>
    <t>Service/Product 2</t>
  </si>
  <si>
    <t>Service/Product 3</t>
  </si>
  <si>
    <t>Service/Product 4</t>
  </si>
  <si>
    <t>Service/Product 5</t>
  </si>
  <si>
    <t>Service/Product 6</t>
  </si>
  <si>
    <t>Service/Product 7</t>
  </si>
  <si>
    <t>Service/Product 8</t>
  </si>
  <si>
    <t>Service/Product 9</t>
  </si>
  <si>
    <t>Service/Product 10</t>
  </si>
  <si>
    <t>TOTAL SALES</t>
  </si>
  <si>
    <t>PAYMENT TIMING</t>
  </si>
  <si>
    <t>When do customers actually pay you? For most service businesses, leave at 100% same month.</t>
  </si>
  <si>
    <t>% collected same month</t>
  </si>
  <si>
    <t>% collected 1 month later</t>
  </si>
  <si>
    <t>% collected 2+ months later</t>
  </si>
  <si>
    <t>Total (must = 100%)</t>
  </si>
  <si>
    <t>Total banked per month</t>
  </si>
  <si>
    <t>VARIABLE COSTS</t>
  </si>
  <si>
    <t>Variable costs are costs that change directly with your sales - materials, supplies, direct costs per job. If you are a pure service business, these may be zero.</t>
  </si>
  <si>
    <t>Cost per unit</t>
  </si>
  <si>
    <t>TOTAL VARIABLE COSTS</t>
  </si>
  <si>
    <t>MARKETING PLAN</t>
  </si>
  <si>
    <t>You don't need to spend on all of these. Mark only what you're planning to do. Leave everything else at zero.</t>
  </si>
  <si>
    <t>ONLINE PRESENCE</t>
  </si>
  <si>
    <t>Website (domain, hosting, design)</t>
  </si>
  <si>
    <t>Social media (content creation, tools)</t>
  </si>
  <si>
    <t>Google My Business setup</t>
  </si>
  <si>
    <t>Photography / brand assets</t>
  </si>
  <si>
    <t>CONTENT &amp; ADVERTISING</t>
  </si>
  <si>
    <t>Paid social media advertising</t>
  </si>
  <si>
    <t>Google Ads</t>
  </si>
  <si>
    <t>Email marketing platform</t>
  </si>
  <si>
    <t>SEO / directory listings</t>
  </si>
  <si>
    <t>PRINTED MATERIALS</t>
  </si>
  <si>
    <t>Business cards</t>
  </si>
  <si>
    <t>Flyers / brochures</t>
  </si>
  <si>
    <t>Other printed materials</t>
  </si>
  <si>
    <t>NETWORKING &amp; EVENTS</t>
  </si>
  <si>
    <t>Networking group memberships</t>
  </si>
  <si>
    <t>Events / markets / expos</t>
  </si>
  <si>
    <t>Sponsorships</t>
  </si>
  <si>
    <t>(spare)</t>
  </si>
  <si>
    <t>TOTAL MARKETING SPEND</t>
  </si>
  <si>
    <t>CASH FLOW BUDGET</t>
  </si>
  <si>
    <t>RECEIPTS</t>
  </si>
  <si>
    <t>Total sales banked (payment timing adjusted)</t>
  </si>
  <si>
    <t>Capital input (owner's own money put in)</t>
  </si>
  <si>
    <t>Other receipts</t>
  </si>
  <si>
    <t>GST collected (only if GST registered)</t>
  </si>
  <si>
    <t>TOTAL RECEIPTS</t>
  </si>
  <si>
    <t>VARIABLE COSTS OUT</t>
  </si>
  <si>
    <t>Total variable costs</t>
  </si>
  <si>
    <t>GST on variable costs (only if GST registered)</t>
  </si>
  <si>
    <t>What is a contribution margin? Sales minus the direct costs of making those sales.</t>
  </si>
  <si>
    <t>OVERHEAD EXPENSES OUT</t>
  </si>
  <si>
    <t>Personal super contributions (voluntary)</t>
  </si>
  <si>
    <t>Drawings (money you take out for yourself)</t>
  </si>
  <si>
    <t>TOTAL OVERHEAD EXPENSES</t>
  </si>
  <si>
    <t>SUMMARY</t>
  </si>
  <si>
    <t>TOTAL CASH OUT</t>
  </si>
  <si>
    <t>NET CASH</t>
  </si>
  <si>
    <t>GST owing (GST collected minus GST paid)</t>
  </si>
  <si>
    <t>Closing bank balance</t>
  </si>
  <si>
    <t>SOLID GROUND - Financial Dashboard</t>
  </si>
  <si>
    <t>Your Year 1 snapshot. All figures are projections - update your other sheets to see these change.</t>
  </si>
  <si>
    <t>BUSINESS INFORMATION</t>
  </si>
  <si>
    <t>Start date</t>
  </si>
  <si>
    <t>KEY NUMBERS - Year 1 Projections</t>
  </si>
  <si>
    <t>Total projected sales</t>
  </si>
  <si>
    <t>Contribution margin %</t>
  </si>
  <si>
    <t>Total overhead expenses</t>
  </si>
  <si>
    <t>Net profit before tax</t>
  </si>
  <si>
    <t>Net profit after tax</t>
  </si>
  <si>
    <t>Cash at end of Year 1</t>
  </si>
  <si>
    <t>HOUSEHOLD FINANCES</t>
  </si>
  <si>
    <t>Total personal income (annual)</t>
  </si>
  <si>
    <t>Total personal expenses (annual)</t>
  </si>
  <si>
    <t>Household surplus / deficit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</si>
</sst>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/mm/yyyy"/>
    <numFmt numFmtId="165" formatCode="\$#,##0;\(\$#,##0\);&quot;-&quot;"/>
    <numFmt numFmtId="166" formatCode="0.0%"/>
    <numFmt numFmtId="167" formatCode="\$#,##0.00"/>
    <numFmt numFmtId="168" formatCode="0.0"/>
    <numFmt numFmtId="169" formatCode="0.0&quot; hrs/wk&quot;"/>
  </numFmts>
  <fonts count="27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i/>
      <sz val="10"/>
      <color rgb="FF1E2E32"/>
      <name val="Arial"/>
    </font>
    <font>
      <sz val="10"/>
      <name val="Arial"/>
    </font>
    <font>
      <sz val="10"/>
      <color rgb="FF000080"/>
      <name val="Arial"/>
    </font>
    <font>
      <i/>
      <sz val="9"/>
      <color rgb="FF555555"/>
      <name val="Arial"/>
    </font>
    <font>
      <b/>
      <sz val="10"/>
      <name val="Arial"/>
    </font>
    <font>
      <b/>
      <sz val="11"/>
      <color rgb="FFFFFFFF"/>
      <name val="Arial"/>
    </font>
    <font>
      <sz val="10"/>
      <color rgb="FF000000"/>
      <name val="Arial"/>
    </font>
    <font>
      <b/>
      <sz val="10"/>
      <color rgb="FF1E2E32"/>
      <name val="Arial"/>
    </font>
    <font>
      <i/>
      <sz val="10"/>
      <color rgb="FF888888"/>
      <name val="Arial"/>
    </font>
    <font>
      <b/>
      <sz val="11"/>
      <color rgb="FF1E2E32"/>
      <name val="Arial"/>
    </font>
    <font>
      <b/>
      <sz val="12"/>
      <color rgb="FFFFFFFF"/>
      <name val="Arial"/>
    </font>
    <font>
      <b/>
      <sz val="16"/>
      <color rgb="FFFFFFFF"/>
      <name val="Arial"/>
    </font>
    <font>
      <i/>
      <sz val="9"/>
      <name val="Arial"/>
    </font>
    <font>
      <sz val="10"/>
      <name val="Arial"/>
      <family val="2"/>
    </font>
    <font>
      <sz val="22"/>
      <color rgb="FFFFFFFF"/>
      <name val="Calibri"/>
    </font>
    <font>
      <i/>
      <sz val="10"/>
      <color rgb="FFD0D9DC"/>
      <name val="Calibri"/>
    </font>
    <font>
      <b/>
      <sz val="11"/>
      <color rgb="FFFFFFFF"/>
      <name val="Calibri"/>
    </font>
    <font>
      <sz val="10"/>
      <color rgb="FF1E2E32"/>
      <name val="Calibri"/>
    </font>
    <font>
      <b/>
      <sz val="11"/>
      <color rgb="FF1E2E32"/>
      <name val="Calibri"/>
    </font>
    <font>
      <i/>
      <sz val="9"/>
      <color rgb="FF888888"/>
      <name val="Calibri"/>
    </font>
    <font>
      <i/>
      <sz val="10"/>
      <color rgb="FF1E2E32"/>
      <name val="Calibri"/>
    </font>
    <font>
      <b/>
      <sz val="11"/>
      <color rgb="FF3B5E6E"/>
      <name val="Calibri"/>
    </font>
    <font>
      <sz val="11"/>
      <color rgb="FF1E2E32"/>
      <name val="Calibri"/>
    </font>
    <font>
      <b/>
      <sz val="11"/>
      <color rgb="FF065F46"/>
      <name val="Calibri"/>
    </font>
    <font>
      <i/>
      <sz val="9"/>
      <color rgb="FF666666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3B5E6E"/>
      </patternFill>
    </fill>
    <fill>
      <patternFill patternType="solid">
        <fgColor rgb="FFFFFF99"/>
      </patternFill>
    </fill>
    <fill>
      <patternFill patternType="solid">
        <fgColor rgb="FFF2F2F2"/>
      </patternFill>
    </fill>
    <fill>
      <patternFill patternType="solid">
        <fgColor rgb="FFE4EAEC"/>
      </patternFill>
    </fill>
    <fill>
      <patternFill patternType="solid">
        <fgColor rgb="FF1E2E32"/>
      </patternFill>
    </fill>
    <fill>
      <patternFill patternType="solid">
        <fgColor rgb="FFFFFFFF"/>
      </patternFill>
    </fill>
    <fill>
      <patternFill patternType="solid">
        <fgColor rgb="FF4A7080"/>
      </patternFill>
    </fill>
    <fill>
      <patternFill patternType="solid">
        <fgColor rgb="FFFAF7F2"/>
      </patternFill>
    </fill>
    <fill>
      <patternFill patternType="solid">
        <fgColor rgb="FFE8E0F0"/>
      </patternFill>
    </fill>
  </fills>
  <borders count="2">
    <border>
      <left/>
      <right/>
      <top/>
      <bottom/>
      <diagonal/>
    </border>
    <border>
      <left style="thin">
        <color rgb="FF999900"/>
      </left>
      <right style="thin">
        <color rgb="FF999900"/>
      </right>
      <top style="thin">
        <color rgb="FF999900"/>
      </top>
      <bottom style="thin">
        <color rgb="FF9999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0" borderId="0" xfId="0" applyFont="1" applyAlignment="1">
      <alignment horizontal="left" vertical="center" indent="1"/>
    </xf>
    <xf numFmtId="49" fontId="4" fillId="3" borderId="0" xfId="0" applyNumberFormat="1" applyFont="1" applyFill="1" applyAlignment="1">
      <alignment horizontal="right" vertical="center"/>
    </xf>
    <xf numFmtId="0" fontId="5" fillId="0" borderId="0" xfId="0" applyFont="1" applyAlignment="1">
      <alignment horizontal="left" vertical="center" wrapText="1"/>
    </xf>
    <xf numFmtId="164" fontId="4" fillId="3" borderId="0" xfId="0" applyNumberFormat="1" applyFont="1" applyFill="1" applyAlignment="1">
      <alignment horizontal="right" vertical="center"/>
    </xf>
    <xf numFmtId="9" fontId="4" fillId="3" borderId="0" xfId="0" applyNumberFormat="1" applyFont="1" applyFill="1" applyAlignment="1">
      <alignment horizontal="right" vertical="center"/>
    </xf>
    <xf numFmtId="165" fontId="4" fillId="3" borderId="0" xfId="0" applyNumberFormat="1" applyFont="1" applyFill="1" applyAlignment="1">
      <alignment horizontal="right" vertical="center"/>
    </xf>
    <xf numFmtId="0" fontId="6" fillId="0" borderId="0" xfId="0" applyFont="1"/>
    <xf numFmtId="0" fontId="6" fillId="0" borderId="0" xfId="0" applyFont="1" applyAlignment="1">
      <alignment horizontal="center"/>
    </xf>
    <xf numFmtId="165" fontId="8" fillId="4" borderId="0" xfId="0" applyNumberFormat="1" applyFont="1" applyFill="1" applyAlignment="1">
      <alignment horizontal="right" vertical="center"/>
    </xf>
    <xf numFmtId="0" fontId="6" fillId="0" borderId="0" xfId="0" applyFont="1" applyAlignment="1">
      <alignment horizontal="left" vertical="center" indent="1"/>
    </xf>
    <xf numFmtId="165" fontId="6" fillId="4" borderId="0" xfId="0" applyNumberFormat="1" applyFont="1" applyFill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10" fillId="3" borderId="0" xfId="0" applyFont="1" applyFill="1" applyAlignment="1">
      <alignment horizontal="left" indent="1"/>
    </xf>
    <xf numFmtId="165" fontId="0" fillId="4" borderId="0" xfId="0" applyNumberFormat="1" applyFill="1"/>
    <xf numFmtId="0" fontId="6" fillId="0" borderId="0" xfId="0" applyFont="1" applyAlignment="1">
      <alignment horizontal="left"/>
    </xf>
    <xf numFmtId="9" fontId="8" fillId="4" borderId="0" xfId="0" applyNumberFormat="1" applyFont="1" applyFill="1" applyAlignment="1">
      <alignment horizontal="right" vertical="center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wrapText="1"/>
    </xf>
    <xf numFmtId="166" fontId="8" fillId="4" borderId="0" xfId="0" applyNumberFormat="1" applyFont="1" applyFill="1" applyAlignment="1">
      <alignment horizontal="right" vertical="center"/>
    </xf>
    <xf numFmtId="166" fontId="6" fillId="4" borderId="0" xfId="0" applyNumberFormat="1" applyFont="1" applyFill="1" applyAlignment="1">
      <alignment horizontal="right" vertical="center"/>
    </xf>
    <xf numFmtId="9" fontId="6" fillId="4" borderId="0" xfId="0" applyNumberFormat="1" applyFont="1" applyFill="1" applyAlignment="1">
      <alignment horizontal="right" vertical="center"/>
    </xf>
    <xf numFmtId="0" fontId="3" fillId="4" borderId="0" xfId="0" applyFont="1" applyFill="1" applyAlignment="1">
      <alignment horizontal="left" indent="1"/>
    </xf>
    <xf numFmtId="0" fontId="9" fillId="5" borderId="0" xfId="0" applyFont="1" applyFill="1" applyAlignment="1">
      <alignment horizontal="left" vertical="center" indent="1"/>
    </xf>
    <xf numFmtId="165" fontId="6" fillId="5" borderId="0" xfId="0" applyNumberFormat="1" applyFont="1" applyFill="1" applyAlignment="1">
      <alignment horizontal="right" vertical="center"/>
    </xf>
    <xf numFmtId="0" fontId="11" fillId="5" borderId="0" xfId="0" applyFont="1" applyFill="1" applyAlignment="1">
      <alignment horizontal="left" vertical="center" indent="1"/>
    </xf>
    <xf numFmtId="0" fontId="9" fillId="0" borderId="0" xfId="0" applyFont="1" applyAlignment="1">
      <alignment horizontal="left" vertical="center" indent="1"/>
    </xf>
    <xf numFmtId="0" fontId="12" fillId="2" borderId="0" xfId="0" applyFont="1" applyFill="1" applyAlignment="1">
      <alignment horizontal="left" vertical="center" indent="1"/>
    </xf>
    <xf numFmtId="165" fontId="12" fillId="2" borderId="0" xfId="0" applyNumberFormat="1" applyFont="1" applyFill="1" applyAlignment="1">
      <alignment horizontal="right" vertical="center"/>
    </xf>
    <xf numFmtId="49" fontId="6" fillId="4" borderId="0" xfId="0" applyNumberFormat="1" applyFont="1" applyFill="1" applyAlignment="1">
      <alignment horizontal="right" vertical="center"/>
    </xf>
    <xf numFmtId="164" fontId="6" fillId="4" borderId="0" xfId="0" applyNumberFormat="1" applyFont="1" applyFill="1" applyAlignment="1">
      <alignment horizontal="right" vertical="center"/>
    </xf>
    <xf numFmtId="0" fontId="4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right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 indent="1"/>
    </xf>
    <xf numFmtId="0" fontId="0" fillId="7" borderId="0" xfId="0" applyFill="1"/>
    <xf numFmtId="0" fontId="19" fillId="9" borderId="0" xfId="0" applyFont="1" applyFill="1" applyAlignment="1">
      <alignment vertical="center" wrapText="1" indent="1"/>
    </xf>
    <xf numFmtId="167" fontId="20" fillId="3" borderId="1" xfId="0" applyNumberFormat="1" applyFont="1" applyFill="1" applyBorder="1" applyAlignment="1">
      <alignment horizontal="right" vertical="center"/>
    </xf>
    <xf numFmtId="0" fontId="22" fillId="9" borderId="0" xfId="0" applyFont="1" applyFill="1" applyAlignment="1">
      <alignment vertical="center" indent="1"/>
    </xf>
    <xf numFmtId="167" fontId="23" fillId="9" borderId="0" xfId="0" applyNumberFormat="1" applyFont="1" applyFill="1" applyAlignment="1">
      <alignment horizontal="right" vertical="center"/>
    </xf>
    <xf numFmtId="0" fontId="0" fillId="9" borderId="0" xfId="0" applyFill="1"/>
    <xf numFmtId="168" fontId="20" fillId="3" borderId="1" xfId="0" applyNumberFormat="1" applyFont="1" applyFill="1" applyBorder="1" applyAlignment="1">
      <alignment horizontal="right" vertical="center"/>
    </xf>
    <xf numFmtId="167" fontId="24" fillId="9" borderId="0" xfId="0" applyNumberFormat="1" applyFont="1" applyFill="1" applyAlignment="1">
      <alignment horizontal="right" vertical="center"/>
    </xf>
    <xf numFmtId="169" fontId="24" fillId="9" borderId="0" xfId="0" applyNumberFormat="1" applyFont="1" applyFill="1" applyAlignment="1">
      <alignment horizontal="right" vertical="center"/>
    </xf>
    <xf numFmtId="49" fontId="25" fillId="9" borderId="0" xfId="0" applyNumberFormat="1" applyFont="1" applyFill="1" applyAlignment="1">
      <alignment horizontal="right" vertical="center"/>
    </xf>
    <xf numFmtId="0" fontId="0" fillId="0" borderId="0" xfId="0"/>
    <xf numFmtId="0" fontId="7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center" wrapText="1"/>
    </xf>
    <xf numFmtId="0" fontId="5" fillId="0" borderId="0" xfId="0" applyFont="1" applyAlignment="1">
      <alignment horizontal="left" vertical="center" wrapText="1"/>
    </xf>
    <xf numFmtId="0" fontId="16" fillId="2" borderId="0" xfId="0" applyFont="1" applyFill="1" applyAlignment="1">
      <alignment horizontal="left" vertical="center" indent="1"/>
    </xf>
    <xf numFmtId="0" fontId="18" fillId="8" borderId="0" xfId="0" applyFont="1" applyFill="1" applyAlignment="1">
      <alignment horizontal="left" vertical="center" indent="1"/>
    </xf>
    <xf numFmtId="0" fontId="21" fillId="9" borderId="0" xfId="0" applyFont="1" applyFill="1" applyAlignment="1">
      <alignment vertical="center" wrapText="1"/>
    </xf>
    <xf numFmtId="0" fontId="26" fillId="10" borderId="0" xfId="0" applyFont="1" applyFill="1" applyAlignment="1">
      <alignment horizontal="left" vertical="center" wrapText="1" indent="1"/>
    </xf>
    <xf numFmtId="0" fontId="17" fillId="6" borderId="0" xfId="0" applyFont="1" applyFill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13" fillId="2" borderId="0" xfId="0" applyFont="1" applyFill="1" applyAlignment="1">
      <alignment horizontal="left" vertical="center"/>
    </xf>
    <xf numFmtId="0" fontId="9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workbookViewId="0">
      <pane ySplit="1" topLeftCell="A2" activePane="bottomLeft" state="frozen"/>
      <selection pane="bottomLeft" activeCell="B16" sqref="B16"/>
    </sheetView>
  </sheetViews>
  <sheetFormatPr defaultRowHeight="14.4" x14ac:dyDescent="0.3"/>
  <cols>
    <col min="1" max="1" width="35" customWidth="1"/>
    <col min="2" max="2" width="30" customWidth="1"/>
    <col min="3" max="3" width="40" customWidth="1"/>
  </cols>
  <sheetData>
    <row r="1" spans="1:3" ht="28.05" customHeight="1" x14ac:dyDescent="0.3">
      <c r="A1" s="47" t="s">
        <v>37</v>
      </c>
      <c r="B1" s="45"/>
      <c r="C1" s="45"/>
    </row>
    <row r="3" spans="1:3" ht="13.2" customHeight="1" x14ac:dyDescent="0.3">
      <c r="A3" s="48" t="s">
        <v>38</v>
      </c>
      <c r="B3" s="45"/>
      <c r="C3" s="45"/>
    </row>
    <row r="5" spans="1:3" ht="19.95" customHeight="1" x14ac:dyDescent="0.3">
      <c r="A5" s="1" t="s">
        <v>39</v>
      </c>
      <c r="B5" s="2"/>
      <c r="C5" s="3" t="s">
        <v>40</v>
      </c>
    </row>
    <row r="6" spans="1:3" ht="19.95" customHeight="1" x14ac:dyDescent="0.3">
      <c r="A6" s="1" t="s">
        <v>41</v>
      </c>
      <c r="B6" s="2"/>
      <c r="C6" s="3" t="s">
        <v>42</v>
      </c>
    </row>
    <row r="7" spans="1:3" ht="19.95" customHeight="1" x14ac:dyDescent="0.3">
      <c r="A7" s="1" t="s">
        <v>43</v>
      </c>
      <c r="B7" s="4"/>
      <c r="C7" s="3" t="s">
        <v>44</v>
      </c>
    </row>
    <row r="8" spans="1:3" ht="19.95" customHeight="1" x14ac:dyDescent="0.3">
      <c r="A8" s="1" t="s">
        <v>45</v>
      </c>
      <c r="B8" s="2" t="s">
        <v>46</v>
      </c>
      <c r="C8" s="3" t="s">
        <v>47</v>
      </c>
    </row>
    <row r="9" spans="1:3" ht="19.95" customHeight="1" x14ac:dyDescent="0.3">
      <c r="A9" s="34" t="s">
        <v>48</v>
      </c>
      <c r="B9" s="32"/>
      <c r="C9" s="33" t="s">
        <v>49</v>
      </c>
    </row>
    <row r="10" spans="1:3" ht="19.95" customHeight="1" x14ac:dyDescent="0.3">
      <c r="A10" s="1" t="s">
        <v>50</v>
      </c>
      <c r="B10" s="2" t="s">
        <v>51</v>
      </c>
      <c r="C10" s="3" t="s">
        <v>52</v>
      </c>
    </row>
    <row r="11" spans="1:3" ht="19.95" customHeight="1" x14ac:dyDescent="0.3">
      <c r="A11" s="1" t="s">
        <v>53</v>
      </c>
      <c r="B11" s="5">
        <v>0.1</v>
      </c>
      <c r="C11" s="3" t="s">
        <v>54</v>
      </c>
    </row>
    <row r="12" spans="1:3" ht="19.95" customHeight="1" x14ac:dyDescent="0.3">
      <c r="A12" s="1" t="s">
        <v>55</v>
      </c>
      <c r="B12" s="6">
        <v>18200</v>
      </c>
      <c r="C12" s="3" t="s">
        <v>56</v>
      </c>
    </row>
  </sheetData>
  <mergeCells count="2">
    <mergeCell ref="A1:C1"/>
    <mergeCell ref="A3:C3"/>
  </mergeCells>
  <dataValidations count="2">
    <dataValidation type="list" sqref="B8" xr:uid="{00000000-0002-0000-0000-000000000000}">
      <formula1>"Sole Trader,Partnership,Company"</formula1>
    </dataValidation>
    <dataValidation type="list" sqref="B9" xr:uid="{00000000-0002-0000-0000-000001000000}">
      <formula1>"Yes,No"</formula1>
    </dataValidation>
  </dataValidations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4"/>
  <sheetViews>
    <sheetView tabSelected="1" workbookViewId="0">
      <pane xSplit="1" ySplit="4" topLeftCell="B5" activePane="bottomRight" state="frozen"/>
      <selection pane="topRight"/>
      <selection pane="bottomLeft"/>
      <selection pane="bottomRight" activeCell="A11" sqref="A11"/>
    </sheetView>
  </sheetViews>
  <sheetFormatPr defaultRowHeight="14.4" x14ac:dyDescent="0.3"/>
  <cols>
    <col min="1" max="1" width="38.109375" customWidth="1"/>
    <col min="2" max="13" width="9" customWidth="1"/>
    <col min="14" max="14" width="12" customWidth="1"/>
  </cols>
  <sheetData>
    <row r="1" spans="1:14" ht="28.05" customHeight="1" x14ac:dyDescent="0.3">
      <c r="A1" s="47" t="s">
        <v>57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</row>
    <row r="2" spans="1:14" ht="40.049999999999997" customHeight="1" x14ac:dyDescent="0.3">
      <c r="A2" s="49" t="s">
        <v>58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</row>
    <row r="4" spans="1:14" ht="18" customHeight="1" x14ac:dyDescent="0.3">
      <c r="A4" s="7" t="s">
        <v>59</v>
      </c>
      <c r="B4" s="8" t="s">
        <v>60</v>
      </c>
      <c r="C4" s="8" t="s">
        <v>61</v>
      </c>
      <c r="D4" s="8" t="s">
        <v>62</v>
      </c>
      <c r="E4" s="8" t="s">
        <v>63</v>
      </c>
      <c r="F4" s="8" t="s">
        <v>64</v>
      </c>
      <c r="G4" s="8" t="s">
        <v>65</v>
      </c>
      <c r="H4" s="8" t="s">
        <v>66</v>
      </c>
      <c r="I4" s="8" t="s">
        <v>67</v>
      </c>
      <c r="J4" s="8" t="s">
        <v>68</v>
      </c>
      <c r="K4" s="8" t="s">
        <v>69</v>
      </c>
      <c r="L4" s="8" t="s">
        <v>70</v>
      </c>
      <c r="M4" s="8" t="s">
        <v>71</v>
      </c>
      <c r="N4" s="8" t="s">
        <v>72</v>
      </c>
    </row>
    <row r="5" spans="1:14" x14ac:dyDescent="0.3">
      <c r="A5" s="46" t="s">
        <v>1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3">
      <c r="A6" s="1" t="s">
        <v>73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9">
        <f>SUM(B6:M6)</f>
        <v>0</v>
      </c>
    </row>
    <row r="7" spans="1:14" x14ac:dyDescent="0.3">
      <c r="A7" s="1" t="s">
        <v>74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9">
        <f>SUM(B7:M7)</f>
        <v>0</v>
      </c>
    </row>
    <row r="8" spans="1:14" x14ac:dyDescent="0.3">
      <c r="A8" s="1" t="s">
        <v>75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9">
        <f>SUM(B8:M8)</f>
        <v>0</v>
      </c>
    </row>
    <row r="9" spans="1:14" x14ac:dyDescent="0.3">
      <c r="A9" s="1" t="s">
        <v>76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9">
        <f>SUM(B9:M9)</f>
        <v>0</v>
      </c>
    </row>
    <row r="10" spans="1:14" x14ac:dyDescent="0.3">
      <c r="A10" s="1" t="s">
        <v>77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9">
        <f>SUM(B10:M10)</f>
        <v>0</v>
      </c>
    </row>
    <row r="11" spans="1:14" x14ac:dyDescent="0.3">
      <c r="A11" s="10" t="s">
        <v>78</v>
      </c>
      <c r="B11" s="11">
        <f t="shared" ref="B11:N11" si="0">SUM(B6:B10)</f>
        <v>0</v>
      </c>
      <c r="C11" s="11">
        <f t="shared" si="0"/>
        <v>0</v>
      </c>
      <c r="D11" s="11">
        <f t="shared" si="0"/>
        <v>0</v>
      </c>
      <c r="E11" s="11">
        <f t="shared" si="0"/>
        <v>0</v>
      </c>
      <c r="F11" s="11">
        <f t="shared" si="0"/>
        <v>0</v>
      </c>
      <c r="G11" s="11">
        <f t="shared" si="0"/>
        <v>0</v>
      </c>
      <c r="H11" s="11">
        <f t="shared" si="0"/>
        <v>0</v>
      </c>
      <c r="I11" s="11">
        <f t="shared" si="0"/>
        <v>0</v>
      </c>
      <c r="J11" s="11">
        <f t="shared" si="0"/>
        <v>0</v>
      </c>
      <c r="K11" s="11">
        <f t="shared" si="0"/>
        <v>0</v>
      </c>
      <c r="L11" s="11">
        <f t="shared" si="0"/>
        <v>0</v>
      </c>
      <c r="M11" s="11">
        <f t="shared" si="0"/>
        <v>0</v>
      </c>
      <c r="N11" s="11">
        <f t="shared" si="0"/>
        <v>0</v>
      </c>
    </row>
    <row r="13" spans="1:14" x14ac:dyDescent="0.3">
      <c r="A13" s="46" t="s">
        <v>79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x14ac:dyDescent="0.3">
      <c r="A14" s="12" t="s">
        <v>80</v>
      </c>
    </row>
    <row r="15" spans="1:14" x14ac:dyDescent="0.3">
      <c r="A15" s="1" t="s">
        <v>81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9">
        <f t="shared" ref="N15:N20" si="1">SUM(B15:M15)</f>
        <v>0</v>
      </c>
    </row>
    <row r="16" spans="1:14" x14ac:dyDescent="0.3">
      <c r="A16" s="1" t="s">
        <v>82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9">
        <f t="shared" si="1"/>
        <v>0</v>
      </c>
    </row>
    <row r="17" spans="1:14" x14ac:dyDescent="0.3">
      <c r="A17" s="1" t="s">
        <v>83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9">
        <f t="shared" si="1"/>
        <v>0</v>
      </c>
    </row>
    <row r="18" spans="1:14" x14ac:dyDescent="0.3">
      <c r="A18" s="1" t="s">
        <v>84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9">
        <f t="shared" si="1"/>
        <v>0</v>
      </c>
    </row>
    <row r="19" spans="1:14" x14ac:dyDescent="0.3">
      <c r="A19" s="1" t="s">
        <v>85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9">
        <f t="shared" si="1"/>
        <v>0</v>
      </c>
    </row>
    <row r="20" spans="1:14" x14ac:dyDescent="0.3">
      <c r="A20" s="1" t="s">
        <v>86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9">
        <f t="shared" si="1"/>
        <v>0</v>
      </c>
    </row>
    <row r="21" spans="1:14" x14ac:dyDescent="0.3">
      <c r="A21" s="12" t="s">
        <v>87</v>
      </c>
    </row>
    <row r="22" spans="1:14" x14ac:dyDescent="0.3">
      <c r="A22" s="1" t="s">
        <v>88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9">
        <f>SUM(B22:M22)</f>
        <v>0</v>
      </c>
    </row>
    <row r="23" spans="1:14" x14ac:dyDescent="0.3">
      <c r="A23" s="1" t="s">
        <v>89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9">
        <f>SUM(B23:M23)</f>
        <v>0</v>
      </c>
    </row>
    <row r="24" spans="1:14" x14ac:dyDescent="0.3">
      <c r="A24" s="1" t="s">
        <v>90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9">
        <f>SUM(B24:M24)</f>
        <v>0</v>
      </c>
    </row>
    <row r="25" spans="1:14" x14ac:dyDescent="0.3">
      <c r="A25" s="1" t="s">
        <v>91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9">
        <f>SUM(B25:M25)</f>
        <v>0</v>
      </c>
    </row>
    <row r="26" spans="1:14" x14ac:dyDescent="0.3">
      <c r="A26" s="1" t="s">
        <v>92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9">
        <f>SUM(B26:M26)</f>
        <v>0</v>
      </c>
    </row>
    <row r="27" spans="1:14" x14ac:dyDescent="0.3">
      <c r="A27" t="s">
        <v>93</v>
      </c>
    </row>
    <row r="28" spans="1:14" x14ac:dyDescent="0.3">
      <c r="A28" s="12" t="s">
        <v>94</v>
      </c>
    </row>
    <row r="29" spans="1:14" x14ac:dyDescent="0.3">
      <c r="A29" s="1" t="s">
        <v>95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9">
        <f>SUM(B28:M28)</f>
        <v>0</v>
      </c>
    </row>
    <row r="30" spans="1:14" x14ac:dyDescent="0.3">
      <c r="A30" s="1" t="s">
        <v>96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9">
        <f>SUM(B29:M29)</f>
        <v>0</v>
      </c>
    </row>
    <row r="31" spans="1:14" x14ac:dyDescent="0.3">
      <c r="A31" s="1" t="s">
        <v>97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9">
        <f>SUM(B30:M30)</f>
        <v>0</v>
      </c>
    </row>
    <row r="32" spans="1:14" x14ac:dyDescent="0.3">
      <c r="A32" s="12" t="s">
        <v>98</v>
      </c>
    </row>
    <row r="33" spans="1:14" x14ac:dyDescent="0.3">
      <c r="A33" s="1" t="s">
        <v>99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9">
        <f>SUM(B32:M32)</f>
        <v>0</v>
      </c>
    </row>
    <row r="34" spans="1:14" x14ac:dyDescent="0.3">
      <c r="A34" s="1" t="s">
        <v>100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9">
        <f>SUM(B33:M33)</f>
        <v>0</v>
      </c>
    </row>
    <row r="35" spans="1:14" x14ac:dyDescent="0.3">
      <c r="A35" s="12" t="s">
        <v>101</v>
      </c>
    </row>
    <row r="36" spans="1:14" x14ac:dyDescent="0.3">
      <c r="A36" s="1" t="s">
        <v>102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9">
        <f>SUM(B35:M35)</f>
        <v>0</v>
      </c>
    </row>
    <row r="37" spans="1:14" x14ac:dyDescent="0.3">
      <c r="A37" s="1" t="s">
        <v>103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9">
        <f>SUM(B36:M36)</f>
        <v>0</v>
      </c>
    </row>
    <row r="38" spans="1:14" x14ac:dyDescent="0.3">
      <c r="A38" s="1" t="s">
        <v>104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9">
        <f>SUM(B37:M37)</f>
        <v>0</v>
      </c>
    </row>
    <row r="39" spans="1:14" x14ac:dyDescent="0.3">
      <c r="A39" s="13" t="s">
        <v>105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9">
        <f>SUM(B38:M38)</f>
        <v>0</v>
      </c>
    </row>
    <row r="40" spans="1:14" x14ac:dyDescent="0.3">
      <c r="A40" s="13" t="s">
        <v>105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9">
        <f>SUM(B39:M39)</f>
        <v>0</v>
      </c>
    </row>
    <row r="41" spans="1:14" x14ac:dyDescent="0.3">
      <c r="A41" s="10" t="s">
        <v>106</v>
      </c>
      <c r="B41" s="11">
        <f t="shared" ref="B41:N41" si="2">SUM(B14:B39)</f>
        <v>0</v>
      </c>
      <c r="C41" s="11">
        <f t="shared" si="2"/>
        <v>0</v>
      </c>
      <c r="D41" s="11">
        <f t="shared" si="2"/>
        <v>0</v>
      </c>
      <c r="E41" s="11">
        <f t="shared" si="2"/>
        <v>0</v>
      </c>
      <c r="F41" s="11">
        <f t="shared" si="2"/>
        <v>0</v>
      </c>
      <c r="G41" s="11">
        <f t="shared" si="2"/>
        <v>0</v>
      </c>
      <c r="H41" s="11">
        <f t="shared" si="2"/>
        <v>0</v>
      </c>
      <c r="I41" s="11">
        <f t="shared" si="2"/>
        <v>0</v>
      </c>
      <c r="J41" s="11">
        <f t="shared" si="2"/>
        <v>0</v>
      </c>
      <c r="K41" s="11">
        <f t="shared" si="2"/>
        <v>0</v>
      </c>
      <c r="L41" s="11">
        <f t="shared" si="2"/>
        <v>0</v>
      </c>
      <c r="M41" s="11">
        <f t="shared" si="2"/>
        <v>0</v>
      </c>
      <c r="N41" s="11">
        <f t="shared" si="2"/>
        <v>0</v>
      </c>
    </row>
    <row r="42" spans="1:14" x14ac:dyDescent="0.3">
      <c r="A42" s="10" t="s">
        <v>107</v>
      </c>
      <c r="B42" s="11">
        <f t="shared" ref="B42:N42" si="3">B11-B40</f>
        <v>0</v>
      </c>
      <c r="C42" s="11">
        <f t="shared" si="3"/>
        <v>0</v>
      </c>
      <c r="D42" s="11">
        <f t="shared" si="3"/>
        <v>0</v>
      </c>
      <c r="E42" s="11">
        <f t="shared" si="3"/>
        <v>0</v>
      </c>
      <c r="F42" s="11">
        <f t="shared" si="3"/>
        <v>0</v>
      </c>
      <c r="G42" s="11">
        <f t="shared" si="3"/>
        <v>0</v>
      </c>
      <c r="H42" s="11">
        <f t="shared" si="3"/>
        <v>0</v>
      </c>
      <c r="I42" s="11">
        <f t="shared" si="3"/>
        <v>0</v>
      </c>
      <c r="J42" s="11">
        <f t="shared" si="3"/>
        <v>0</v>
      </c>
      <c r="K42" s="11">
        <f t="shared" si="3"/>
        <v>0</v>
      </c>
      <c r="L42" s="11">
        <f t="shared" si="3"/>
        <v>0</v>
      </c>
      <c r="M42" s="11">
        <f t="shared" si="3"/>
        <v>0</v>
      </c>
      <c r="N42" s="11">
        <f t="shared" si="3"/>
        <v>0</v>
      </c>
    </row>
    <row r="43" spans="1:14" x14ac:dyDescent="0.3">
      <c r="A43" s="1" t="s">
        <v>108</v>
      </c>
      <c r="B43" s="6">
        <v>0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</row>
    <row r="44" spans="1:14" x14ac:dyDescent="0.3">
      <c r="A44" s="10" t="s">
        <v>109</v>
      </c>
      <c r="B44" s="9">
        <f>B42+B41</f>
        <v>0</v>
      </c>
      <c r="C44" s="9">
        <f t="shared" ref="C44:M44" si="4">B43+C41</f>
        <v>0</v>
      </c>
      <c r="D44" s="9">
        <f t="shared" si="4"/>
        <v>0</v>
      </c>
      <c r="E44" s="9">
        <f t="shared" si="4"/>
        <v>0</v>
      </c>
      <c r="F44" s="9">
        <f t="shared" si="4"/>
        <v>0</v>
      </c>
      <c r="G44" s="9">
        <f t="shared" si="4"/>
        <v>0</v>
      </c>
      <c r="H44" s="9">
        <f t="shared" si="4"/>
        <v>0</v>
      </c>
      <c r="I44" s="9">
        <f t="shared" si="4"/>
        <v>0</v>
      </c>
      <c r="J44" s="9">
        <f t="shared" si="4"/>
        <v>0</v>
      </c>
      <c r="K44" s="9">
        <f t="shared" si="4"/>
        <v>0</v>
      </c>
      <c r="L44" s="9">
        <f t="shared" si="4"/>
        <v>0</v>
      </c>
      <c r="M44" s="9">
        <f t="shared" si="4"/>
        <v>0</v>
      </c>
      <c r="N44" s="9">
        <f>M43</f>
        <v>0</v>
      </c>
    </row>
  </sheetData>
  <mergeCells count="4">
    <mergeCell ref="A5:N5"/>
    <mergeCell ref="A13:N13"/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workbookViewId="0">
      <pane ySplit="1" topLeftCell="A4" activePane="bottomLeft" state="frozen"/>
      <selection pane="bottomLeft" activeCell="A28" sqref="A28"/>
    </sheetView>
  </sheetViews>
  <sheetFormatPr defaultRowHeight="14.4" x14ac:dyDescent="0.3"/>
  <cols>
    <col min="1" max="1" width="34" customWidth="1"/>
    <col min="2" max="2" width="14" customWidth="1"/>
    <col min="3" max="4" width="12" customWidth="1"/>
    <col min="5" max="6" width="16" customWidth="1"/>
  </cols>
  <sheetData>
    <row r="1" spans="1:6" ht="28.05" customHeight="1" x14ac:dyDescent="0.3">
      <c r="A1" s="47" t="s">
        <v>110</v>
      </c>
      <c r="B1" s="45"/>
      <c r="C1" s="45"/>
      <c r="D1" s="45"/>
      <c r="E1" s="45"/>
      <c r="F1" s="45"/>
    </row>
    <row r="2" spans="1:6" ht="30" customHeight="1" x14ac:dyDescent="0.3">
      <c r="A2" s="49" t="s">
        <v>111</v>
      </c>
      <c r="B2" s="45"/>
      <c r="C2" s="45"/>
      <c r="D2" s="45"/>
      <c r="E2" s="45"/>
      <c r="F2" s="45"/>
    </row>
    <row r="4" spans="1:6" x14ac:dyDescent="0.3">
      <c r="A4" s="46" t="s">
        <v>112</v>
      </c>
      <c r="B4" s="45"/>
      <c r="C4" s="45"/>
      <c r="D4" s="45"/>
      <c r="E4" s="45"/>
      <c r="F4" s="45"/>
    </row>
    <row r="5" spans="1:6" x14ac:dyDescent="0.3">
      <c r="A5" s="15" t="s">
        <v>113</v>
      </c>
      <c r="B5" s="8" t="s">
        <v>114</v>
      </c>
      <c r="C5" s="8" t="s">
        <v>115</v>
      </c>
      <c r="D5" s="8" t="s">
        <v>116</v>
      </c>
      <c r="E5" s="8" t="s">
        <v>117</v>
      </c>
      <c r="F5" s="8" t="s">
        <v>118</v>
      </c>
    </row>
    <row r="6" spans="1:6" x14ac:dyDescent="0.3">
      <c r="A6" s="1" t="s">
        <v>119</v>
      </c>
      <c r="B6" s="6">
        <v>0</v>
      </c>
      <c r="C6" s="5">
        <v>0.5</v>
      </c>
      <c r="D6" s="16">
        <f t="shared" ref="D6:D14" si="0">1-C6</f>
        <v>0.5</v>
      </c>
      <c r="E6" s="9">
        <f t="shared" ref="E6:E14" si="1">B6*C6</f>
        <v>0</v>
      </c>
      <c r="F6" s="9">
        <f t="shared" ref="F6:F14" si="2">B6*D6</f>
        <v>0</v>
      </c>
    </row>
    <row r="7" spans="1:6" x14ac:dyDescent="0.3">
      <c r="A7" s="1" t="s">
        <v>100</v>
      </c>
      <c r="B7" s="6">
        <v>0</v>
      </c>
      <c r="C7" s="5">
        <v>0.5</v>
      </c>
      <c r="D7" s="16">
        <f t="shared" si="0"/>
        <v>0.5</v>
      </c>
      <c r="E7" s="9">
        <f t="shared" si="1"/>
        <v>0</v>
      </c>
      <c r="F7" s="9">
        <f t="shared" si="2"/>
        <v>0</v>
      </c>
    </row>
    <row r="8" spans="1:6" x14ac:dyDescent="0.3">
      <c r="A8" s="1" t="s">
        <v>120</v>
      </c>
      <c r="B8" s="6">
        <v>0</v>
      </c>
      <c r="C8" s="5">
        <v>0.5</v>
      </c>
      <c r="D8" s="16">
        <f t="shared" si="0"/>
        <v>0.5</v>
      </c>
      <c r="E8" s="9">
        <f t="shared" si="1"/>
        <v>0</v>
      </c>
      <c r="F8" s="9">
        <f t="shared" si="2"/>
        <v>0</v>
      </c>
    </row>
    <row r="9" spans="1:6" x14ac:dyDescent="0.3">
      <c r="A9" s="1" t="s">
        <v>121</v>
      </c>
      <c r="B9" s="6">
        <v>0</v>
      </c>
      <c r="C9" s="5">
        <v>0.5</v>
      </c>
      <c r="D9" s="16">
        <f t="shared" si="0"/>
        <v>0.5</v>
      </c>
      <c r="E9" s="9">
        <f t="shared" si="1"/>
        <v>0</v>
      </c>
      <c r="F9" s="9">
        <f t="shared" si="2"/>
        <v>0</v>
      </c>
    </row>
    <row r="10" spans="1:6" x14ac:dyDescent="0.3">
      <c r="A10" s="1" t="s">
        <v>122</v>
      </c>
      <c r="B10" s="6">
        <v>0</v>
      </c>
      <c r="C10" s="5">
        <v>0.5</v>
      </c>
      <c r="D10" s="16">
        <f t="shared" si="0"/>
        <v>0.5</v>
      </c>
      <c r="E10" s="9">
        <f t="shared" si="1"/>
        <v>0</v>
      </c>
      <c r="F10" s="9">
        <f t="shared" si="2"/>
        <v>0</v>
      </c>
    </row>
    <row r="11" spans="1:6" x14ac:dyDescent="0.3">
      <c r="A11" s="1" t="s">
        <v>123</v>
      </c>
      <c r="B11" s="6">
        <v>0</v>
      </c>
      <c r="C11" s="5">
        <v>0.5</v>
      </c>
      <c r="D11" s="16">
        <f t="shared" si="0"/>
        <v>0.5</v>
      </c>
      <c r="E11" s="9">
        <f t="shared" si="1"/>
        <v>0</v>
      </c>
      <c r="F11" s="9">
        <f t="shared" si="2"/>
        <v>0</v>
      </c>
    </row>
    <row r="12" spans="1:6" x14ac:dyDescent="0.3">
      <c r="A12" s="1" t="s">
        <v>124</v>
      </c>
      <c r="B12" s="6">
        <v>0</v>
      </c>
      <c r="C12" s="5">
        <v>0.5</v>
      </c>
      <c r="D12" s="16">
        <f t="shared" si="0"/>
        <v>0.5</v>
      </c>
      <c r="E12" s="9">
        <f t="shared" si="1"/>
        <v>0</v>
      </c>
      <c r="F12" s="9">
        <f t="shared" si="2"/>
        <v>0</v>
      </c>
    </row>
    <row r="13" spans="1:6" x14ac:dyDescent="0.3">
      <c r="A13" s="1" t="s">
        <v>22</v>
      </c>
      <c r="B13" s="6">
        <v>0</v>
      </c>
      <c r="C13" s="5">
        <v>0.5</v>
      </c>
      <c r="D13" s="16">
        <f t="shared" si="0"/>
        <v>0.5</v>
      </c>
      <c r="E13" s="9">
        <f t="shared" si="1"/>
        <v>0</v>
      </c>
      <c r="F13" s="9">
        <f t="shared" si="2"/>
        <v>0</v>
      </c>
    </row>
    <row r="14" spans="1:6" x14ac:dyDescent="0.3">
      <c r="A14" s="1" t="s">
        <v>23</v>
      </c>
      <c r="B14" s="6">
        <v>0</v>
      </c>
      <c r="C14" s="5">
        <v>0.5</v>
      </c>
      <c r="D14" s="16">
        <f t="shared" si="0"/>
        <v>0.5</v>
      </c>
      <c r="E14" s="9">
        <f t="shared" si="1"/>
        <v>0</v>
      </c>
      <c r="F14" s="9">
        <f t="shared" si="2"/>
        <v>0</v>
      </c>
    </row>
    <row r="15" spans="1:6" x14ac:dyDescent="0.3">
      <c r="A15" s="10" t="s">
        <v>125</v>
      </c>
      <c r="B15" s="11">
        <f>SUM(B6:B14)</f>
        <v>0</v>
      </c>
      <c r="E15" s="11">
        <f>SUM(E6:E14)</f>
        <v>0</v>
      </c>
      <c r="F15" s="11">
        <f>SUM(F6:F14)</f>
        <v>0</v>
      </c>
    </row>
    <row r="17" spans="1:6" x14ac:dyDescent="0.3">
      <c r="A17" s="46" t="s">
        <v>126</v>
      </c>
      <c r="B17" s="45"/>
      <c r="C17" s="45"/>
      <c r="D17" s="45"/>
      <c r="E17" s="45"/>
      <c r="F17" s="45"/>
    </row>
    <row r="18" spans="1:6" x14ac:dyDescent="0.3">
      <c r="A18" s="15" t="s">
        <v>113</v>
      </c>
      <c r="B18" s="8" t="s">
        <v>127</v>
      </c>
      <c r="C18" s="8" t="s">
        <v>115</v>
      </c>
      <c r="D18" s="8" t="s">
        <v>116</v>
      </c>
      <c r="E18" s="8" t="s">
        <v>128</v>
      </c>
      <c r="F18" s="8" t="s">
        <v>129</v>
      </c>
    </row>
    <row r="19" spans="1:6" x14ac:dyDescent="0.3">
      <c r="A19" s="1" t="s">
        <v>130</v>
      </c>
      <c r="B19" s="6">
        <v>0</v>
      </c>
      <c r="C19" s="5">
        <v>0.5</v>
      </c>
      <c r="D19" s="16">
        <f t="shared" ref="D19:D24" si="3">1-C19</f>
        <v>0.5</v>
      </c>
      <c r="E19" s="9">
        <f t="shared" ref="E19:E24" si="4">B19*C19</f>
        <v>0</v>
      </c>
      <c r="F19" s="9">
        <f t="shared" ref="F19:F24" si="5">B19*D19</f>
        <v>0</v>
      </c>
    </row>
    <row r="20" spans="1:6" x14ac:dyDescent="0.3">
      <c r="A20" s="1" t="s">
        <v>131</v>
      </c>
      <c r="B20" s="6">
        <v>0</v>
      </c>
      <c r="C20" s="5">
        <v>0.5</v>
      </c>
      <c r="D20" s="16">
        <f t="shared" si="3"/>
        <v>0.5</v>
      </c>
      <c r="E20" s="9">
        <f t="shared" si="4"/>
        <v>0</v>
      </c>
      <c r="F20" s="9">
        <f t="shared" si="5"/>
        <v>0</v>
      </c>
    </row>
    <row r="21" spans="1:6" x14ac:dyDescent="0.3">
      <c r="A21" s="1" t="s">
        <v>132</v>
      </c>
      <c r="B21" s="6">
        <v>0</v>
      </c>
      <c r="C21" s="5">
        <v>0.5</v>
      </c>
      <c r="D21" s="16">
        <f t="shared" si="3"/>
        <v>0.5</v>
      </c>
      <c r="E21" s="9">
        <f t="shared" si="4"/>
        <v>0</v>
      </c>
      <c r="F21" s="9">
        <f t="shared" si="5"/>
        <v>0</v>
      </c>
    </row>
    <row r="22" spans="1:6" x14ac:dyDescent="0.3">
      <c r="A22" s="1" t="s">
        <v>120</v>
      </c>
      <c r="B22" s="6">
        <v>0</v>
      </c>
      <c r="C22" s="5">
        <v>0.5</v>
      </c>
      <c r="D22" s="16">
        <f t="shared" si="3"/>
        <v>0.5</v>
      </c>
      <c r="E22" s="9">
        <f t="shared" si="4"/>
        <v>0</v>
      </c>
      <c r="F22" s="9">
        <f t="shared" si="5"/>
        <v>0</v>
      </c>
    </row>
    <row r="23" spans="1:6" x14ac:dyDescent="0.3">
      <c r="A23" s="1" t="s">
        <v>133</v>
      </c>
      <c r="B23" s="6">
        <v>0</v>
      </c>
      <c r="C23" s="5">
        <v>0.5</v>
      </c>
      <c r="D23" s="16">
        <f t="shared" si="3"/>
        <v>0.5</v>
      </c>
      <c r="E23" s="9">
        <f t="shared" si="4"/>
        <v>0</v>
      </c>
      <c r="F23" s="9">
        <f t="shared" si="5"/>
        <v>0</v>
      </c>
    </row>
    <row r="24" spans="1:6" x14ac:dyDescent="0.3">
      <c r="A24" s="1" t="s">
        <v>134</v>
      </c>
      <c r="B24" s="6">
        <v>0</v>
      </c>
      <c r="C24" s="5">
        <v>0.5</v>
      </c>
      <c r="D24" s="16">
        <f t="shared" si="3"/>
        <v>0.5</v>
      </c>
      <c r="E24" s="9">
        <f t="shared" si="4"/>
        <v>0</v>
      </c>
      <c r="F24" s="9">
        <f t="shared" si="5"/>
        <v>0</v>
      </c>
    </row>
    <row r="25" spans="1:6" x14ac:dyDescent="0.3">
      <c r="A25" s="10" t="s">
        <v>125</v>
      </c>
      <c r="B25" s="11">
        <f>SUM(B19:B24)</f>
        <v>0</v>
      </c>
      <c r="E25" s="11">
        <f>SUM(E19:E24)</f>
        <v>0</v>
      </c>
      <c r="F25" s="11">
        <f>SUM(F19:F24)</f>
        <v>0</v>
      </c>
    </row>
  </sheetData>
  <mergeCells count="4">
    <mergeCell ref="A2:F2"/>
    <mergeCell ref="A17:F17"/>
    <mergeCell ref="A1:F1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9"/>
  <sheetViews>
    <sheetView workbookViewId="0">
      <selection activeCell="G1" sqref="G1"/>
    </sheetView>
  </sheetViews>
  <sheetFormatPr defaultRowHeight="14.4" x14ac:dyDescent="0.3"/>
  <cols>
    <col min="1" max="1" width="50.33203125" customWidth="1"/>
    <col min="2" max="3" width="20" customWidth="1"/>
    <col min="4" max="4" width="24" customWidth="1"/>
  </cols>
  <sheetData>
    <row r="1" spans="1:4" ht="36" customHeight="1" x14ac:dyDescent="0.3">
      <c r="A1" s="50" t="s">
        <v>135</v>
      </c>
      <c r="B1" s="45"/>
      <c r="C1" s="45"/>
      <c r="D1" s="45"/>
    </row>
    <row r="2" spans="1:4" ht="19.95" customHeight="1" x14ac:dyDescent="0.3">
      <c r="A2" s="54" t="s">
        <v>136</v>
      </c>
      <c r="B2" s="45"/>
      <c r="C2" s="45"/>
      <c r="D2" s="45"/>
    </row>
    <row r="3" spans="1:4" ht="7.95" customHeight="1" x14ac:dyDescent="0.3">
      <c r="A3" s="35"/>
      <c r="B3" s="35"/>
      <c r="C3" s="35"/>
      <c r="D3" s="35"/>
    </row>
    <row r="4" spans="1:4" ht="22.05" customHeight="1" x14ac:dyDescent="0.3">
      <c r="A4" s="51" t="s">
        <v>137</v>
      </c>
      <c r="B4" s="45"/>
      <c r="C4" s="45"/>
      <c r="D4" s="45"/>
    </row>
    <row r="5" spans="1:4" ht="22.05" customHeight="1" x14ac:dyDescent="0.3">
      <c r="A5" s="36" t="s">
        <v>138</v>
      </c>
      <c r="B5" s="37"/>
      <c r="C5" s="52" t="s">
        <v>139</v>
      </c>
      <c r="D5" s="45"/>
    </row>
    <row r="6" spans="1:4" ht="22.05" customHeight="1" x14ac:dyDescent="0.3">
      <c r="A6" s="36" t="s">
        <v>140</v>
      </c>
      <c r="B6" s="37"/>
      <c r="C6" s="52" t="s">
        <v>141</v>
      </c>
      <c r="D6" s="45"/>
    </row>
    <row r="7" spans="1:4" ht="22.05" customHeight="1" x14ac:dyDescent="0.3">
      <c r="A7" s="38" t="s">
        <v>142</v>
      </c>
      <c r="B7" s="39" t="str">
        <f>IF(B5&gt;0,B5,"")</f>
        <v/>
      </c>
      <c r="C7" s="40"/>
      <c r="D7" s="40"/>
    </row>
    <row r="8" spans="1:4" ht="22.05" customHeight="1" x14ac:dyDescent="0.3">
      <c r="A8" s="38" t="s">
        <v>143</v>
      </c>
      <c r="B8" s="39" t="str">
        <f>IF((B5+B6)&gt;0,B5+B6,"")</f>
        <v/>
      </c>
      <c r="C8" s="40"/>
      <c r="D8" s="40"/>
    </row>
    <row r="9" spans="1:4" ht="7.95" customHeight="1" x14ac:dyDescent="0.3">
      <c r="A9" s="35"/>
      <c r="B9" s="35"/>
      <c r="C9" s="35"/>
      <c r="D9" s="35"/>
    </row>
    <row r="10" spans="1:4" ht="22.05" customHeight="1" x14ac:dyDescent="0.3">
      <c r="A10" s="51" t="s">
        <v>144</v>
      </c>
      <c r="B10" s="45"/>
      <c r="C10" s="45"/>
      <c r="D10" s="45"/>
    </row>
    <row r="11" spans="1:4" ht="22.05" customHeight="1" x14ac:dyDescent="0.3">
      <c r="A11" s="36" t="s">
        <v>145</v>
      </c>
      <c r="B11" s="37"/>
      <c r="C11" s="52" t="s">
        <v>146</v>
      </c>
      <c r="D11" s="45"/>
    </row>
    <row r="12" spans="1:4" ht="7.95" customHeight="1" x14ac:dyDescent="0.3">
      <c r="A12" s="35"/>
      <c r="B12" s="35"/>
      <c r="C12" s="35"/>
      <c r="D12" s="35"/>
    </row>
    <row r="13" spans="1:4" ht="22.05" customHeight="1" x14ac:dyDescent="0.3">
      <c r="A13" s="51" t="s">
        <v>147</v>
      </c>
      <c r="B13" s="45"/>
      <c r="C13" s="45"/>
      <c r="D13" s="45"/>
    </row>
    <row r="14" spans="1:4" ht="22.05" customHeight="1" x14ac:dyDescent="0.3">
      <c r="A14" s="36" t="s">
        <v>148</v>
      </c>
      <c r="B14" s="41"/>
      <c r="C14" s="52" t="s">
        <v>149</v>
      </c>
      <c r="D14" s="45"/>
    </row>
    <row r="15" spans="1:4" ht="22.05" customHeight="1" x14ac:dyDescent="0.3">
      <c r="A15" s="36" t="s">
        <v>150</v>
      </c>
      <c r="B15" s="41"/>
      <c r="C15" s="52" t="s">
        <v>151</v>
      </c>
      <c r="D15" s="45"/>
    </row>
    <row r="16" spans="1:4" ht="7.95" customHeight="1" x14ac:dyDescent="0.3">
      <c r="A16" s="35"/>
      <c r="B16" s="35"/>
      <c r="C16" s="35"/>
      <c r="D16" s="35"/>
    </row>
    <row r="17" spans="1:4" ht="22.05" customHeight="1" x14ac:dyDescent="0.3">
      <c r="A17" s="51" t="s">
        <v>152</v>
      </c>
      <c r="B17" s="45"/>
      <c r="C17" s="45"/>
      <c r="D17" s="45"/>
    </row>
    <row r="18" spans="1:4" ht="22.05" customHeight="1" x14ac:dyDescent="0.3">
      <c r="A18" s="38" t="s">
        <v>153</v>
      </c>
      <c r="B18" s="42">
        <f>IFERROR(B11*B14,"")</f>
        <v>0</v>
      </c>
      <c r="C18" s="40"/>
      <c r="D18" s="40"/>
    </row>
    <row r="19" spans="1:4" ht="22.05" customHeight="1" x14ac:dyDescent="0.3">
      <c r="A19" s="38" t="s">
        <v>154</v>
      </c>
      <c r="B19" s="42">
        <f>IFERROR(B11*B15,"")</f>
        <v>0</v>
      </c>
      <c r="C19" s="40"/>
      <c r="D19" s="40"/>
    </row>
    <row r="20" spans="1:4" ht="7.95" customHeight="1" x14ac:dyDescent="0.3">
      <c r="A20" s="35"/>
      <c r="B20" s="35"/>
      <c r="C20" s="35"/>
      <c r="D20" s="35"/>
    </row>
    <row r="21" spans="1:4" ht="22.05" customHeight="1" x14ac:dyDescent="0.3">
      <c r="A21" s="38" t="s">
        <v>155</v>
      </c>
      <c r="B21" s="43" t="str">
        <f>IFERROR(IF(B11&gt;0,B5/B11,""),"")</f>
        <v/>
      </c>
      <c r="C21" s="40"/>
      <c r="D21" s="40"/>
    </row>
    <row r="22" spans="1:4" ht="22.05" customHeight="1" x14ac:dyDescent="0.3">
      <c r="A22" s="38" t="s">
        <v>156</v>
      </c>
      <c r="B22" s="43" t="str">
        <f>IFERROR(IF(B11&gt;0,(B5+B6)/B11,""),"")</f>
        <v/>
      </c>
      <c r="C22" s="40"/>
      <c r="D22" s="40"/>
    </row>
    <row r="23" spans="1:4" ht="7.95" customHeight="1" x14ac:dyDescent="0.3">
      <c r="A23" s="35"/>
      <c r="B23" s="35"/>
      <c r="C23" s="35"/>
      <c r="D23" s="35"/>
    </row>
    <row r="24" spans="1:4" ht="22.05" customHeight="1" x14ac:dyDescent="0.3">
      <c r="A24" s="51" t="s">
        <v>157</v>
      </c>
      <c r="B24" s="45"/>
      <c r="C24" s="45"/>
      <c r="D24" s="45"/>
    </row>
    <row r="25" spans="1:4" ht="22.05" customHeight="1" x14ac:dyDescent="0.3">
      <c r="A25" s="38" t="s">
        <v>158</v>
      </c>
      <c r="B25" s="44" t="str">
        <f>IFERROR(IF(B15*B11&gt;=B5,"Yes - covered","Gap - see below"),"")</f>
        <v>Yes - covered</v>
      </c>
      <c r="C25" s="40"/>
      <c r="D25" s="40"/>
    </row>
    <row r="26" spans="1:4" ht="22.05" customHeight="1" x14ac:dyDescent="0.3">
      <c r="A26" s="38" t="s">
        <v>159</v>
      </c>
      <c r="B26" s="39" t="str">
        <f>IFERROR(IF(B15&gt;0,B5/B15,""),"")</f>
        <v/>
      </c>
      <c r="C26" s="40"/>
      <c r="D26" s="40"/>
    </row>
    <row r="27" spans="1:4" ht="22.05" customHeight="1" x14ac:dyDescent="0.3">
      <c r="A27" s="38" t="s">
        <v>160</v>
      </c>
      <c r="B27" s="39" t="str">
        <f>IFERROR(IF(B15&gt;0,(B5+B6)/B15,""),"")</f>
        <v/>
      </c>
      <c r="C27" s="40"/>
      <c r="D27" s="40"/>
    </row>
    <row r="28" spans="1:4" ht="7.95" customHeight="1" x14ac:dyDescent="0.3">
      <c r="A28" s="35"/>
      <c r="B28" s="35"/>
      <c r="C28" s="35"/>
      <c r="D28" s="35"/>
    </row>
    <row r="29" spans="1:4" ht="28.05" customHeight="1" x14ac:dyDescent="0.3">
      <c r="A29" s="53" t="s">
        <v>161</v>
      </c>
      <c r="B29" s="45"/>
      <c r="C29" s="45"/>
      <c r="D29" s="45"/>
    </row>
  </sheetData>
  <mergeCells count="13">
    <mergeCell ref="A29:D29"/>
    <mergeCell ref="C14:D14"/>
    <mergeCell ref="A24:D24"/>
    <mergeCell ref="A2:D2"/>
    <mergeCell ref="A10:D10"/>
    <mergeCell ref="A13:D13"/>
    <mergeCell ref="A1:D1"/>
    <mergeCell ref="A17:D17"/>
    <mergeCell ref="C6:D6"/>
    <mergeCell ref="C15:D15"/>
    <mergeCell ref="A4:D4"/>
    <mergeCell ref="C11:D11"/>
    <mergeCell ref="C5:D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39"/>
  <sheetViews>
    <sheetView workbookViewId="0">
      <pane ySplit="4" topLeftCell="A21" activePane="bottomLeft" state="frozen"/>
      <selection pane="bottomLeft" activeCell="E41" sqref="E41"/>
    </sheetView>
  </sheetViews>
  <sheetFormatPr defaultRowHeight="14.4" x14ac:dyDescent="0.3"/>
  <cols>
    <col min="1" max="1" width="30" customWidth="1"/>
    <col min="2" max="2" width="13" customWidth="1"/>
    <col min="3" max="15" width="8" customWidth="1"/>
    <col min="16" max="16" width="13" customWidth="1"/>
    <col min="17" max="17" width="10" customWidth="1"/>
  </cols>
  <sheetData>
    <row r="1" spans="1:17" ht="28.05" customHeight="1" x14ac:dyDescent="0.3">
      <c r="A1" s="47" t="s">
        <v>162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</row>
    <row r="2" spans="1:17" ht="19.95" customHeight="1" x14ac:dyDescent="0.3">
      <c r="A2" s="49" t="s">
        <v>163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</row>
    <row r="4" spans="1:17" x14ac:dyDescent="0.3">
      <c r="A4" s="46" t="s">
        <v>164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</row>
    <row r="5" spans="1:17" ht="27" customHeight="1" x14ac:dyDescent="0.3">
      <c r="A5" s="17" t="s">
        <v>165</v>
      </c>
      <c r="B5" s="18" t="s">
        <v>166</v>
      </c>
      <c r="C5" s="18" t="s">
        <v>60</v>
      </c>
      <c r="D5" s="18" t="s">
        <v>61</v>
      </c>
      <c r="E5" s="18" t="s">
        <v>62</v>
      </c>
      <c r="F5" s="18" t="s">
        <v>63</v>
      </c>
      <c r="G5" s="18" t="s">
        <v>64</v>
      </c>
      <c r="H5" s="18" t="s">
        <v>65</v>
      </c>
      <c r="I5" s="18" t="s">
        <v>66</v>
      </c>
      <c r="J5" s="18" t="s">
        <v>67</v>
      </c>
      <c r="K5" s="18" t="s">
        <v>68</v>
      </c>
      <c r="L5" s="18" t="s">
        <v>69</v>
      </c>
      <c r="M5" s="18" t="s">
        <v>70</v>
      </c>
      <c r="N5" s="18" t="s">
        <v>71</v>
      </c>
      <c r="O5" s="18" t="s">
        <v>72</v>
      </c>
      <c r="P5" s="18" t="s">
        <v>167</v>
      </c>
    </row>
    <row r="6" spans="1:17" x14ac:dyDescent="0.3">
      <c r="A6" s="31" t="s">
        <v>168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9">
        <f t="shared" ref="O6:O15" si="0">B6*SUM(C6:N6)</f>
        <v>0</v>
      </c>
      <c r="P6" s="19" t="str">
        <f t="shared" ref="P6:P15" ca="1" si="1">IFERROR(P6/P$16,0)</f>
        <v/>
      </c>
    </row>
    <row r="7" spans="1:17" x14ac:dyDescent="0.3">
      <c r="A7" s="31" t="s">
        <v>169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9">
        <f t="shared" si="0"/>
        <v>0</v>
      </c>
      <c r="P7" s="19" t="str">
        <f t="shared" ca="1" si="1"/>
        <v/>
      </c>
    </row>
    <row r="8" spans="1:17" x14ac:dyDescent="0.3">
      <c r="A8" s="31" t="s">
        <v>170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9">
        <f t="shared" si="0"/>
        <v>0</v>
      </c>
      <c r="P8" s="19" t="str">
        <f t="shared" ca="1" si="1"/>
        <v/>
      </c>
    </row>
    <row r="9" spans="1:17" x14ac:dyDescent="0.3">
      <c r="A9" s="31" t="s">
        <v>171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9">
        <f t="shared" si="0"/>
        <v>0</v>
      </c>
      <c r="P9" s="19" t="str">
        <f t="shared" ca="1" si="1"/>
        <v/>
      </c>
    </row>
    <row r="10" spans="1:17" x14ac:dyDescent="0.3">
      <c r="A10" s="31" t="s">
        <v>172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9">
        <f t="shared" si="0"/>
        <v>0</v>
      </c>
      <c r="P10" s="19" t="str">
        <f t="shared" ca="1" si="1"/>
        <v/>
      </c>
    </row>
    <row r="11" spans="1:17" x14ac:dyDescent="0.3">
      <c r="A11" s="31" t="s">
        <v>173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9">
        <f t="shared" si="0"/>
        <v>0</v>
      </c>
      <c r="P11" s="19" t="str">
        <f t="shared" ca="1" si="1"/>
        <v/>
      </c>
    </row>
    <row r="12" spans="1:17" x14ac:dyDescent="0.3">
      <c r="A12" s="31" t="s">
        <v>174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9">
        <f t="shared" si="0"/>
        <v>0</v>
      </c>
      <c r="P12" s="19" t="str">
        <f t="shared" ca="1" si="1"/>
        <v/>
      </c>
    </row>
    <row r="13" spans="1:17" x14ac:dyDescent="0.3">
      <c r="A13" s="31" t="s">
        <v>175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9">
        <f t="shared" si="0"/>
        <v>0</v>
      </c>
      <c r="P13" s="19" t="str">
        <f t="shared" ca="1" si="1"/>
        <v/>
      </c>
    </row>
    <row r="14" spans="1:17" x14ac:dyDescent="0.3">
      <c r="A14" s="31" t="s">
        <v>176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9">
        <f t="shared" si="0"/>
        <v>0</v>
      </c>
      <c r="P14" s="19" t="str">
        <f t="shared" ca="1" si="1"/>
        <v/>
      </c>
    </row>
    <row r="15" spans="1:17" x14ac:dyDescent="0.3">
      <c r="A15" s="31" t="s">
        <v>177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9">
        <f t="shared" si="0"/>
        <v>0</v>
      </c>
      <c r="P15" s="19" t="str">
        <f t="shared" ca="1" si="1"/>
        <v/>
      </c>
    </row>
    <row r="16" spans="1:17" x14ac:dyDescent="0.3">
      <c r="A16" s="55" t="s">
        <v>178</v>
      </c>
      <c r="B16" s="45"/>
      <c r="C16" s="11">
        <f t="shared" ref="C16:N16" si="2">SUM(C6:C15)</f>
        <v>0</v>
      </c>
      <c r="D16" s="11">
        <f t="shared" si="2"/>
        <v>0</v>
      </c>
      <c r="E16" s="11">
        <f t="shared" si="2"/>
        <v>0</v>
      </c>
      <c r="F16" s="11">
        <f t="shared" si="2"/>
        <v>0</v>
      </c>
      <c r="G16" s="11">
        <f t="shared" si="2"/>
        <v>0</v>
      </c>
      <c r="H16" s="11">
        <f t="shared" si="2"/>
        <v>0</v>
      </c>
      <c r="I16" s="11">
        <f t="shared" si="2"/>
        <v>0</v>
      </c>
      <c r="J16" s="11">
        <f t="shared" si="2"/>
        <v>0</v>
      </c>
      <c r="K16" s="11">
        <f t="shared" si="2"/>
        <v>0</v>
      </c>
      <c r="L16" s="11">
        <f t="shared" si="2"/>
        <v>0</v>
      </c>
      <c r="M16" s="11">
        <f t="shared" si="2"/>
        <v>0</v>
      </c>
      <c r="N16" s="11">
        <f t="shared" si="2"/>
        <v>0</v>
      </c>
      <c r="O16" s="11" t="str">
        <f ca="1">SUM(P6:P15)</f>
        <v/>
      </c>
      <c r="P16" s="20">
        <f>IFERROR(1,0)</f>
        <v>1</v>
      </c>
    </row>
    <row r="18" spans="1:17" x14ac:dyDescent="0.3">
      <c r="A18" s="46" t="s">
        <v>179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</row>
    <row r="19" spans="1:17" ht="25.05" customHeight="1" x14ac:dyDescent="0.3">
      <c r="A19" s="49" t="s">
        <v>180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</row>
    <row r="20" spans="1:17" x14ac:dyDescent="0.3">
      <c r="A20" s="1" t="s">
        <v>181</v>
      </c>
      <c r="B20" s="5">
        <v>1</v>
      </c>
    </row>
    <row r="21" spans="1:17" x14ac:dyDescent="0.3">
      <c r="A21" s="1" t="s">
        <v>182</v>
      </c>
      <c r="B21" s="5">
        <v>0</v>
      </c>
    </row>
    <row r="22" spans="1:17" x14ac:dyDescent="0.3">
      <c r="A22" s="1" t="s">
        <v>183</v>
      </c>
      <c r="B22" s="5">
        <v>0</v>
      </c>
    </row>
    <row r="23" spans="1:17" x14ac:dyDescent="0.3">
      <c r="A23" s="10" t="s">
        <v>184</v>
      </c>
      <c r="B23" s="21">
        <f>B20+B21+B22</f>
        <v>1</v>
      </c>
    </row>
    <row r="24" spans="1:17" x14ac:dyDescent="0.3">
      <c r="A24" s="10" t="s">
        <v>185</v>
      </c>
      <c r="C24" s="9">
        <f>C16*$B$20</f>
        <v>0</v>
      </c>
      <c r="D24" s="9">
        <f>D16*$B$20+C16*$B$21</f>
        <v>0</v>
      </c>
      <c r="E24" s="9">
        <f t="shared" ref="E24:N24" si="3">E16*$B$20+D16*$B$21+C16*$B$22</f>
        <v>0</v>
      </c>
      <c r="F24" s="9">
        <f t="shared" si="3"/>
        <v>0</v>
      </c>
      <c r="G24" s="9">
        <f t="shared" si="3"/>
        <v>0</v>
      </c>
      <c r="H24" s="9">
        <f t="shared" si="3"/>
        <v>0</v>
      </c>
      <c r="I24" s="9">
        <f t="shared" si="3"/>
        <v>0</v>
      </c>
      <c r="J24" s="9">
        <f t="shared" si="3"/>
        <v>0</v>
      </c>
      <c r="K24" s="9">
        <f t="shared" si="3"/>
        <v>0</v>
      </c>
      <c r="L24" s="9">
        <f t="shared" si="3"/>
        <v>0</v>
      </c>
      <c r="M24" s="9">
        <f t="shared" si="3"/>
        <v>0</v>
      </c>
      <c r="N24" s="9">
        <f t="shared" si="3"/>
        <v>0</v>
      </c>
      <c r="O24" s="11">
        <f>SUM(C24:N24)</f>
        <v>0</v>
      </c>
    </row>
    <row r="26" spans="1:17" x14ac:dyDescent="0.3">
      <c r="A26" s="46" t="s">
        <v>186</v>
      </c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</row>
    <row r="27" spans="1:17" ht="25.05" customHeight="1" x14ac:dyDescent="0.3">
      <c r="A27" s="49" t="s">
        <v>187</v>
      </c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</row>
    <row r="28" spans="1:17" x14ac:dyDescent="0.3">
      <c r="A28" s="15" t="s">
        <v>165</v>
      </c>
      <c r="B28" s="8" t="s">
        <v>188</v>
      </c>
      <c r="C28" s="8" t="s">
        <v>60</v>
      </c>
      <c r="D28" s="8" t="s">
        <v>61</v>
      </c>
      <c r="E28" s="8" t="s">
        <v>62</v>
      </c>
      <c r="F28" s="8" t="s">
        <v>63</v>
      </c>
      <c r="G28" s="8" t="s">
        <v>64</v>
      </c>
      <c r="H28" s="8" t="s">
        <v>65</v>
      </c>
      <c r="I28" s="8" t="s">
        <v>66</v>
      </c>
      <c r="J28" s="8" t="s">
        <v>67</v>
      </c>
      <c r="K28" s="8" t="s">
        <v>68</v>
      </c>
      <c r="L28" s="8" t="s">
        <v>69</v>
      </c>
      <c r="M28" s="8" t="s">
        <v>70</v>
      </c>
      <c r="N28" s="8" t="s">
        <v>71</v>
      </c>
      <c r="O28" s="8" t="s">
        <v>72</v>
      </c>
      <c r="P28" s="8"/>
    </row>
    <row r="29" spans="1:17" x14ac:dyDescent="0.3">
      <c r="A29" s="22" t="str">
        <f>'Sales Forecast'!A6</f>
        <v>Service/Product 1</v>
      </c>
      <c r="B29" s="6">
        <v>0</v>
      </c>
      <c r="C29" s="9">
        <f t="shared" ref="C29:C38" si="4">C6*B29</f>
        <v>0</v>
      </c>
      <c r="D29" s="9">
        <f t="shared" ref="D29:D38" si="5">D6*B29</f>
        <v>0</v>
      </c>
      <c r="E29" s="9">
        <f t="shared" ref="E29:E38" si="6">E6*B29</f>
        <v>0</v>
      </c>
      <c r="F29" s="9">
        <f t="shared" ref="F29:F38" si="7">F6*B29</f>
        <v>0</v>
      </c>
      <c r="G29" s="9">
        <f t="shared" ref="G29:G38" si="8">G6*B29</f>
        <v>0</v>
      </c>
      <c r="H29" s="9">
        <f t="shared" ref="H29:H38" si="9">H6*B29</f>
        <v>0</v>
      </c>
      <c r="I29" s="9">
        <f t="shared" ref="I29:I38" si="10">I6*B29</f>
        <v>0</v>
      </c>
      <c r="J29" s="9">
        <f t="shared" ref="J29:J38" si="11">J6*B29</f>
        <v>0</v>
      </c>
      <c r="K29" s="9">
        <f t="shared" ref="K29:K38" si="12">K6*B29</f>
        <v>0</v>
      </c>
      <c r="L29" s="9">
        <f t="shared" ref="L29:L38" si="13">L6*B29</f>
        <v>0</v>
      </c>
      <c r="M29" s="9">
        <f t="shared" ref="M29:M38" si="14">M6*B29</f>
        <v>0</v>
      </c>
      <c r="N29" s="9">
        <f t="shared" ref="N29:N38" si="15">N6*B29</f>
        <v>0</v>
      </c>
      <c r="O29" s="11">
        <f t="shared" ref="O29:O38" si="16">SUM(C29:N29)</f>
        <v>0</v>
      </c>
    </row>
    <row r="30" spans="1:17" x14ac:dyDescent="0.3">
      <c r="A30" s="22" t="str">
        <f>'Sales Forecast'!A7</f>
        <v>Service/Product 2</v>
      </c>
      <c r="B30" s="6">
        <v>0</v>
      </c>
      <c r="C30" s="9">
        <f t="shared" si="4"/>
        <v>0</v>
      </c>
      <c r="D30" s="9">
        <f t="shared" si="5"/>
        <v>0</v>
      </c>
      <c r="E30" s="9">
        <f t="shared" si="6"/>
        <v>0</v>
      </c>
      <c r="F30" s="9">
        <f t="shared" si="7"/>
        <v>0</v>
      </c>
      <c r="G30" s="9">
        <f t="shared" si="8"/>
        <v>0</v>
      </c>
      <c r="H30" s="9">
        <f t="shared" si="9"/>
        <v>0</v>
      </c>
      <c r="I30" s="9">
        <f t="shared" si="10"/>
        <v>0</v>
      </c>
      <c r="J30" s="9">
        <f t="shared" si="11"/>
        <v>0</v>
      </c>
      <c r="K30" s="9">
        <f t="shared" si="12"/>
        <v>0</v>
      </c>
      <c r="L30" s="9">
        <f t="shared" si="13"/>
        <v>0</v>
      </c>
      <c r="M30" s="9">
        <f t="shared" si="14"/>
        <v>0</v>
      </c>
      <c r="N30" s="9">
        <f t="shared" si="15"/>
        <v>0</v>
      </c>
      <c r="O30" s="11">
        <f t="shared" si="16"/>
        <v>0</v>
      </c>
    </row>
    <row r="31" spans="1:17" x14ac:dyDescent="0.3">
      <c r="A31" s="22" t="str">
        <f>'Sales Forecast'!A8</f>
        <v>Service/Product 3</v>
      </c>
      <c r="B31" s="6">
        <v>0</v>
      </c>
      <c r="C31" s="9">
        <f t="shared" si="4"/>
        <v>0</v>
      </c>
      <c r="D31" s="9">
        <f t="shared" si="5"/>
        <v>0</v>
      </c>
      <c r="E31" s="9">
        <f t="shared" si="6"/>
        <v>0</v>
      </c>
      <c r="F31" s="9">
        <f t="shared" si="7"/>
        <v>0</v>
      </c>
      <c r="G31" s="9">
        <f t="shared" si="8"/>
        <v>0</v>
      </c>
      <c r="H31" s="9">
        <f t="shared" si="9"/>
        <v>0</v>
      </c>
      <c r="I31" s="9">
        <f t="shared" si="10"/>
        <v>0</v>
      </c>
      <c r="J31" s="9">
        <f t="shared" si="11"/>
        <v>0</v>
      </c>
      <c r="K31" s="9">
        <f t="shared" si="12"/>
        <v>0</v>
      </c>
      <c r="L31" s="9">
        <f t="shared" si="13"/>
        <v>0</v>
      </c>
      <c r="M31" s="9">
        <f t="shared" si="14"/>
        <v>0</v>
      </c>
      <c r="N31" s="9">
        <f t="shared" si="15"/>
        <v>0</v>
      </c>
      <c r="O31" s="11">
        <f t="shared" si="16"/>
        <v>0</v>
      </c>
    </row>
    <row r="32" spans="1:17" x14ac:dyDescent="0.3">
      <c r="A32" s="22" t="str">
        <f>'Sales Forecast'!A9</f>
        <v>Service/Product 4</v>
      </c>
      <c r="B32" s="6">
        <v>0</v>
      </c>
      <c r="C32" s="9">
        <f t="shared" si="4"/>
        <v>0</v>
      </c>
      <c r="D32" s="9">
        <f t="shared" si="5"/>
        <v>0</v>
      </c>
      <c r="E32" s="9">
        <f t="shared" si="6"/>
        <v>0</v>
      </c>
      <c r="F32" s="9">
        <f t="shared" si="7"/>
        <v>0</v>
      </c>
      <c r="G32" s="9">
        <f t="shared" si="8"/>
        <v>0</v>
      </c>
      <c r="H32" s="9">
        <f t="shared" si="9"/>
        <v>0</v>
      </c>
      <c r="I32" s="9">
        <f t="shared" si="10"/>
        <v>0</v>
      </c>
      <c r="J32" s="9">
        <f t="shared" si="11"/>
        <v>0</v>
      </c>
      <c r="K32" s="9">
        <f t="shared" si="12"/>
        <v>0</v>
      </c>
      <c r="L32" s="9">
        <f t="shared" si="13"/>
        <v>0</v>
      </c>
      <c r="M32" s="9">
        <f t="shared" si="14"/>
        <v>0</v>
      </c>
      <c r="N32" s="9">
        <f t="shared" si="15"/>
        <v>0</v>
      </c>
      <c r="O32" s="11">
        <f t="shared" si="16"/>
        <v>0</v>
      </c>
    </row>
    <row r="33" spans="1:15" x14ac:dyDescent="0.3">
      <c r="A33" s="22" t="str">
        <f>'Sales Forecast'!A10</f>
        <v>Service/Product 5</v>
      </c>
      <c r="B33" s="6">
        <v>0</v>
      </c>
      <c r="C33" s="9">
        <f t="shared" si="4"/>
        <v>0</v>
      </c>
      <c r="D33" s="9">
        <f t="shared" si="5"/>
        <v>0</v>
      </c>
      <c r="E33" s="9">
        <f t="shared" si="6"/>
        <v>0</v>
      </c>
      <c r="F33" s="9">
        <f t="shared" si="7"/>
        <v>0</v>
      </c>
      <c r="G33" s="9">
        <f t="shared" si="8"/>
        <v>0</v>
      </c>
      <c r="H33" s="9">
        <f t="shared" si="9"/>
        <v>0</v>
      </c>
      <c r="I33" s="9">
        <f t="shared" si="10"/>
        <v>0</v>
      </c>
      <c r="J33" s="9">
        <f t="shared" si="11"/>
        <v>0</v>
      </c>
      <c r="K33" s="9">
        <f t="shared" si="12"/>
        <v>0</v>
      </c>
      <c r="L33" s="9">
        <f t="shared" si="13"/>
        <v>0</v>
      </c>
      <c r="M33" s="9">
        <f t="shared" si="14"/>
        <v>0</v>
      </c>
      <c r="N33" s="9">
        <f t="shared" si="15"/>
        <v>0</v>
      </c>
      <c r="O33" s="11">
        <f t="shared" si="16"/>
        <v>0</v>
      </c>
    </row>
    <row r="34" spans="1:15" x14ac:dyDescent="0.3">
      <c r="A34" s="22" t="str">
        <f>'Sales Forecast'!A11</f>
        <v>Service/Product 6</v>
      </c>
      <c r="B34" s="6">
        <v>0</v>
      </c>
      <c r="C34" s="9">
        <f t="shared" si="4"/>
        <v>0</v>
      </c>
      <c r="D34" s="9">
        <f t="shared" si="5"/>
        <v>0</v>
      </c>
      <c r="E34" s="9">
        <f t="shared" si="6"/>
        <v>0</v>
      </c>
      <c r="F34" s="9">
        <f t="shared" si="7"/>
        <v>0</v>
      </c>
      <c r="G34" s="9">
        <f t="shared" si="8"/>
        <v>0</v>
      </c>
      <c r="H34" s="9">
        <f t="shared" si="9"/>
        <v>0</v>
      </c>
      <c r="I34" s="9">
        <f t="shared" si="10"/>
        <v>0</v>
      </c>
      <c r="J34" s="9">
        <f t="shared" si="11"/>
        <v>0</v>
      </c>
      <c r="K34" s="9">
        <f t="shared" si="12"/>
        <v>0</v>
      </c>
      <c r="L34" s="9">
        <f t="shared" si="13"/>
        <v>0</v>
      </c>
      <c r="M34" s="9">
        <f t="shared" si="14"/>
        <v>0</v>
      </c>
      <c r="N34" s="9">
        <f t="shared" si="15"/>
        <v>0</v>
      </c>
      <c r="O34" s="11">
        <f t="shared" si="16"/>
        <v>0</v>
      </c>
    </row>
    <row r="35" spans="1:15" x14ac:dyDescent="0.3">
      <c r="A35" s="22" t="str">
        <f>'Sales Forecast'!A12</f>
        <v>Service/Product 7</v>
      </c>
      <c r="B35" s="6">
        <v>0</v>
      </c>
      <c r="C35" s="9">
        <f t="shared" si="4"/>
        <v>0</v>
      </c>
      <c r="D35" s="9">
        <f t="shared" si="5"/>
        <v>0</v>
      </c>
      <c r="E35" s="9">
        <f t="shared" si="6"/>
        <v>0</v>
      </c>
      <c r="F35" s="9">
        <f t="shared" si="7"/>
        <v>0</v>
      </c>
      <c r="G35" s="9">
        <f t="shared" si="8"/>
        <v>0</v>
      </c>
      <c r="H35" s="9">
        <f t="shared" si="9"/>
        <v>0</v>
      </c>
      <c r="I35" s="9">
        <f t="shared" si="10"/>
        <v>0</v>
      </c>
      <c r="J35" s="9">
        <f t="shared" si="11"/>
        <v>0</v>
      </c>
      <c r="K35" s="9">
        <f t="shared" si="12"/>
        <v>0</v>
      </c>
      <c r="L35" s="9">
        <f t="shared" si="13"/>
        <v>0</v>
      </c>
      <c r="M35" s="9">
        <f t="shared" si="14"/>
        <v>0</v>
      </c>
      <c r="N35" s="9">
        <f t="shared" si="15"/>
        <v>0</v>
      </c>
      <c r="O35" s="11">
        <f t="shared" si="16"/>
        <v>0</v>
      </c>
    </row>
    <row r="36" spans="1:15" x14ac:dyDescent="0.3">
      <c r="A36" s="22" t="str">
        <f>'Sales Forecast'!A13</f>
        <v>Service/Product 8</v>
      </c>
      <c r="B36" s="6">
        <v>0</v>
      </c>
      <c r="C36" s="9">
        <f t="shared" si="4"/>
        <v>0</v>
      </c>
      <c r="D36" s="9">
        <f t="shared" si="5"/>
        <v>0</v>
      </c>
      <c r="E36" s="9">
        <f t="shared" si="6"/>
        <v>0</v>
      </c>
      <c r="F36" s="9">
        <f t="shared" si="7"/>
        <v>0</v>
      </c>
      <c r="G36" s="9">
        <f t="shared" si="8"/>
        <v>0</v>
      </c>
      <c r="H36" s="9">
        <f t="shared" si="9"/>
        <v>0</v>
      </c>
      <c r="I36" s="9">
        <f t="shared" si="10"/>
        <v>0</v>
      </c>
      <c r="J36" s="9">
        <f t="shared" si="11"/>
        <v>0</v>
      </c>
      <c r="K36" s="9">
        <f t="shared" si="12"/>
        <v>0</v>
      </c>
      <c r="L36" s="9">
        <f t="shared" si="13"/>
        <v>0</v>
      </c>
      <c r="M36" s="9">
        <f t="shared" si="14"/>
        <v>0</v>
      </c>
      <c r="N36" s="9">
        <f t="shared" si="15"/>
        <v>0</v>
      </c>
      <c r="O36" s="11">
        <f t="shared" si="16"/>
        <v>0</v>
      </c>
    </row>
    <row r="37" spans="1:15" x14ac:dyDescent="0.3">
      <c r="A37" s="22" t="str">
        <f>'Sales Forecast'!A14</f>
        <v>Service/Product 9</v>
      </c>
      <c r="B37" s="6">
        <v>0</v>
      </c>
      <c r="C37" s="9">
        <f t="shared" si="4"/>
        <v>0</v>
      </c>
      <c r="D37" s="9">
        <f t="shared" si="5"/>
        <v>0</v>
      </c>
      <c r="E37" s="9">
        <f t="shared" si="6"/>
        <v>0</v>
      </c>
      <c r="F37" s="9">
        <f t="shared" si="7"/>
        <v>0</v>
      </c>
      <c r="G37" s="9">
        <f t="shared" si="8"/>
        <v>0</v>
      </c>
      <c r="H37" s="9">
        <f t="shared" si="9"/>
        <v>0</v>
      </c>
      <c r="I37" s="9">
        <f t="shared" si="10"/>
        <v>0</v>
      </c>
      <c r="J37" s="9">
        <f t="shared" si="11"/>
        <v>0</v>
      </c>
      <c r="K37" s="9">
        <f t="shared" si="12"/>
        <v>0</v>
      </c>
      <c r="L37" s="9">
        <f t="shared" si="13"/>
        <v>0</v>
      </c>
      <c r="M37" s="9">
        <f t="shared" si="14"/>
        <v>0</v>
      </c>
      <c r="N37" s="9">
        <f t="shared" si="15"/>
        <v>0</v>
      </c>
      <c r="O37" s="11">
        <f t="shared" si="16"/>
        <v>0</v>
      </c>
    </row>
    <row r="38" spans="1:15" x14ac:dyDescent="0.3">
      <c r="A38" s="22" t="str">
        <f>'Sales Forecast'!A15</f>
        <v>Service/Product 10</v>
      </c>
      <c r="B38" s="6">
        <v>0</v>
      </c>
      <c r="C38" s="9">
        <f t="shared" si="4"/>
        <v>0</v>
      </c>
      <c r="D38" s="9">
        <f t="shared" si="5"/>
        <v>0</v>
      </c>
      <c r="E38" s="9">
        <f t="shared" si="6"/>
        <v>0</v>
      </c>
      <c r="F38" s="9">
        <f t="shared" si="7"/>
        <v>0</v>
      </c>
      <c r="G38" s="9">
        <f t="shared" si="8"/>
        <v>0</v>
      </c>
      <c r="H38" s="9">
        <f t="shared" si="9"/>
        <v>0</v>
      </c>
      <c r="I38" s="9">
        <f t="shared" si="10"/>
        <v>0</v>
      </c>
      <c r="J38" s="9">
        <f t="shared" si="11"/>
        <v>0</v>
      </c>
      <c r="K38" s="9">
        <f t="shared" si="12"/>
        <v>0</v>
      </c>
      <c r="L38" s="9">
        <f t="shared" si="13"/>
        <v>0</v>
      </c>
      <c r="M38" s="9">
        <f t="shared" si="14"/>
        <v>0</v>
      </c>
      <c r="N38" s="9">
        <f t="shared" si="15"/>
        <v>0</v>
      </c>
      <c r="O38" s="11">
        <f t="shared" si="16"/>
        <v>0</v>
      </c>
    </row>
    <row r="39" spans="1:15" x14ac:dyDescent="0.3">
      <c r="A39" s="55" t="s">
        <v>189</v>
      </c>
      <c r="B39" s="45"/>
      <c r="C39" s="11">
        <f t="shared" ref="C39:N39" si="17">SUM(C29:C38)</f>
        <v>0</v>
      </c>
      <c r="D39" s="11">
        <f t="shared" si="17"/>
        <v>0</v>
      </c>
      <c r="E39" s="11">
        <f t="shared" si="17"/>
        <v>0</v>
      </c>
      <c r="F39" s="11">
        <f t="shared" si="17"/>
        <v>0</v>
      </c>
      <c r="G39" s="11">
        <f t="shared" si="17"/>
        <v>0</v>
      </c>
      <c r="H39" s="11">
        <f t="shared" si="17"/>
        <v>0</v>
      </c>
      <c r="I39" s="11">
        <f t="shared" si="17"/>
        <v>0</v>
      </c>
      <c r="J39" s="11">
        <f t="shared" si="17"/>
        <v>0</v>
      </c>
      <c r="K39" s="11">
        <f t="shared" si="17"/>
        <v>0</v>
      </c>
      <c r="L39" s="11">
        <f t="shared" si="17"/>
        <v>0</v>
      </c>
      <c r="M39" s="11">
        <f t="shared" si="17"/>
        <v>0</v>
      </c>
      <c r="N39" s="11">
        <f t="shared" si="17"/>
        <v>0</v>
      </c>
      <c r="O39" s="11">
        <f>SUM(P29:P38)</f>
        <v>0</v>
      </c>
    </row>
  </sheetData>
  <mergeCells count="9">
    <mergeCell ref="A2:Q2"/>
    <mergeCell ref="A19:Q19"/>
    <mergeCell ref="A1:Q1"/>
    <mergeCell ref="A39:B39"/>
    <mergeCell ref="A16:B16"/>
    <mergeCell ref="A18:Q18"/>
    <mergeCell ref="A27:Q27"/>
    <mergeCell ref="A4:Q4"/>
    <mergeCell ref="A26:Q2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6"/>
  <sheetViews>
    <sheetView workbookViewId="0">
      <pane ySplit="4" topLeftCell="A16" activePane="bottomLeft" state="frozen"/>
      <selection pane="bottomLeft" activeCell="A37" sqref="A37"/>
    </sheetView>
  </sheetViews>
  <sheetFormatPr defaultRowHeight="14.4" x14ac:dyDescent="0.3"/>
  <cols>
    <col min="1" max="1" width="32" customWidth="1"/>
    <col min="2" max="2" width="13" customWidth="1"/>
    <col min="3" max="14" width="8" customWidth="1"/>
    <col min="15" max="15" width="13" customWidth="1"/>
  </cols>
  <sheetData>
    <row r="1" spans="1:15" ht="28.05" customHeight="1" x14ac:dyDescent="0.3">
      <c r="A1" s="47" t="s">
        <v>190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</row>
    <row r="2" spans="1:15" ht="19.95" customHeight="1" x14ac:dyDescent="0.3">
      <c r="A2" s="49" t="s">
        <v>191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4" spans="1:15" x14ac:dyDescent="0.3">
      <c r="A4" s="15" t="s">
        <v>113</v>
      </c>
      <c r="B4" s="8" t="s">
        <v>114</v>
      </c>
      <c r="C4" s="8" t="s">
        <v>60</v>
      </c>
      <c r="D4" s="8" t="s">
        <v>61</v>
      </c>
      <c r="E4" s="8" t="s">
        <v>62</v>
      </c>
      <c r="F4" s="8" t="s">
        <v>63</v>
      </c>
      <c r="G4" s="8" t="s">
        <v>64</v>
      </c>
      <c r="H4" s="8" t="s">
        <v>65</v>
      </c>
      <c r="I4" s="8" t="s">
        <v>66</v>
      </c>
      <c r="J4" s="8" t="s">
        <v>67</v>
      </c>
      <c r="K4" s="8" t="s">
        <v>68</v>
      </c>
      <c r="L4" s="8" t="s">
        <v>69</v>
      </c>
      <c r="M4" s="8" t="s">
        <v>70</v>
      </c>
      <c r="N4" s="8" t="s">
        <v>71</v>
      </c>
      <c r="O4" s="8" t="s">
        <v>72</v>
      </c>
    </row>
    <row r="5" spans="1:15" x14ac:dyDescent="0.3">
      <c r="A5" s="46" t="s">
        <v>192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</row>
    <row r="6" spans="1:15" x14ac:dyDescent="0.3">
      <c r="A6" s="1" t="s">
        <v>193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11">
        <f>SUM(C6:N6)</f>
        <v>0</v>
      </c>
    </row>
    <row r="7" spans="1:15" x14ac:dyDescent="0.3">
      <c r="A7" s="1" t="s">
        <v>194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11">
        <f>SUM(C7:N7)</f>
        <v>0</v>
      </c>
    </row>
    <row r="8" spans="1:15" x14ac:dyDescent="0.3">
      <c r="A8" s="1" t="s">
        <v>195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11">
        <f>SUM(C8:N8)</f>
        <v>0</v>
      </c>
    </row>
    <row r="9" spans="1:15" x14ac:dyDescent="0.3">
      <c r="A9" s="1" t="s">
        <v>196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11">
        <f>SUM(C9:N9)</f>
        <v>0</v>
      </c>
    </row>
    <row r="10" spans="1:15" x14ac:dyDescent="0.3">
      <c r="A10" s="46" t="s">
        <v>197</v>
      </c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</row>
    <row r="11" spans="1:15" x14ac:dyDescent="0.3">
      <c r="A11" s="1" t="s">
        <v>198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11">
        <f>SUM(C11:N11)</f>
        <v>0</v>
      </c>
    </row>
    <row r="12" spans="1:15" x14ac:dyDescent="0.3">
      <c r="A12" s="1" t="s">
        <v>199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11">
        <f>SUM(C12:N12)</f>
        <v>0</v>
      </c>
    </row>
    <row r="13" spans="1:15" x14ac:dyDescent="0.3">
      <c r="A13" s="1" t="s">
        <v>200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11">
        <f>SUM(C13:N13)</f>
        <v>0</v>
      </c>
    </row>
    <row r="14" spans="1:15" x14ac:dyDescent="0.3">
      <c r="A14" s="1" t="s">
        <v>201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11">
        <f>SUM(C14:N14)</f>
        <v>0</v>
      </c>
    </row>
    <row r="15" spans="1:15" x14ac:dyDescent="0.3">
      <c r="A15" s="46" t="s">
        <v>202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</row>
    <row r="16" spans="1:15" x14ac:dyDescent="0.3">
      <c r="A16" s="1" t="s">
        <v>203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11">
        <f>SUM(C16:N16)</f>
        <v>0</v>
      </c>
    </row>
    <row r="17" spans="1:15" x14ac:dyDescent="0.3">
      <c r="A17" s="1" t="s">
        <v>204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11">
        <f>SUM(C17:N17)</f>
        <v>0</v>
      </c>
    </row>
    <row r="18" spans="1:15" x14ac:dyDescent="0.3">
      <c r="A18" s="1" t="s">
        <v>205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11">
        <f>SUM(C18:N18)</f>
        <v>0</v>
      </c>
    </row>
    <row r="19" spans="1:15" x14ac:dyDescent="0.3">
      <c r="A19" s="46" t="s">
        <v>206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</row>
    <row r="20" spans="1:15" x14ac:dyDescent="0.3">
      <c r="A20" s="1" t="s">
        <v>207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11">
        <f t="shared" ref="O20:O25" si="0">SUM(C20:N20)</f>
        <v>0</v>
      </c>
    </row>
    <row r="21" spans="1:15" x14ac:dyDescent="0.3">
      <c r="A21" s="1" t="s">
        <v>208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11">
        <f t="shared" si="0"/>
        <v>0</v>
      </c>
    </row>
    <row r="22" spans="1:15" x14ac:dyDescent="0.3">
      <c r="A22" s="1" t="s">
        <v>209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11">
        <f t="shared" si="0"/>
        <v>0</v>
      </c>
    </row>
    <row r="23" spans="1:15" x14ac:dyDescent="0.3">
      <c r="A23" s="13" t="s">
        <v>210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11">
        <f t="shared" si="0"/>
        <v>0</v>
      </c>
    </row>
    <row r="24" spans="1:15" x14ac:dyDescent="0.3">
      <c r="A24" s="13" t="s">
        <v>210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11">
        <f t="shared" si="0"/>
        <v>0</v>
      </c>
    </row>
    <row r="25" spans="1:15" x14ac:dyDescent="0.3">
      <c r="A25" s="13" t="s">
        <v>210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11">
        <f t="shared" si="0"/>
        <v>0</v>
      </c>
    </row>
    <row r="26" spans="1:15" x14ac:dyDescent="0.3">
      <c r="A26" s="55" t="s">
        <v>211</v>
      </c>
      <c r="B26" s="45"/>
      <c r="C26" s="11">
        <f t="shared" ref="C26:O26" si="1">SUM(C6:C25)</f>
        <v>0</v>
      </c>
      <c r="D26" s="11">
        <f t="shared" si="1"/>
        <v>0</v>
      </c>
      <c r="E26" s="11">
        <f t="shared" si="1"/>
        <v>0</v>
      </c>
      <c r="F26" s="11">
        <f t="shared" si="1"/>
        <v>0</v>
      </c>
      <c r="G26" s="11">
        <f t="shared" si="1"/>
        <v>0</v>
      </c>
      <c r="H26" s="11">
        <f t="shared" si="1"/>
        <v>0</v>
      </c>
      <c r="I26" s="11">
        <f t="shared" si="1"/>
        <v>0</v>
      </c>
      <c r="J26" s="11">
        <f t="shared" si="1"/>
        <v>0</v>
      </c>
      <c r="K26" s="11">
        <f t="shared" si="1"/>
        <v>0</v>
      </c>
      <c r="L26" s="11">
        <f t="shared" si="1"/>
        <v>0</v>
      </c>
      <c r="M26" s="11">
        <f t="shared" si="1"/>
        <v>0</v>
      </c>
      <c r="N26" s="11">
        <f t="shared" si="1"/>
        <v>0</v>
      </c>
      <c r="O26" s="11">
        <f t="shared" si="1"/>
        <v>0</v>
      </c>
    </row>
  </sheetData>
  <mergeCells count="7">
    <mergeCell ref="A1:O1"/>
    <mergeCell ref="A5:O5"/>
    <mergeCell ref="A15:O15"/>
    <mergeCell ref="A26:B26"/>
    <mergeCell ref="A2:O2"/>
    <mergeCell ref="A10:O10"/>
    <mergeCell ref="A19:O1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5"/>
  <sheetViews>
    <sheetView workbookViewId="0">
      <pane xSplit="1" ySplit="3" topLeftCell="B4" activePane="bottomRight" state="frozen"/>
      <selection pane="topRight"/>
      <selection pane="bottomLeft"/>
      <selection pane="bottomRight" sqref="A1:N1"/>
    </sheetView>
  </sheetViews>
  <sheetFormatPr defaultRowHeight="14.4" x14ac:dyDescent="0.3"/>
  <cols>
    <col min="1" max="1" width="36" customWidth="1"/>
    <col min="2" max="13" width="9" customWidth="1"/>
    <col min="14" max="14" width="13" customWidth="1"/>
  </cols>
  <sheetData>
    <row r="1" spans="1:14" ht="28.05" customHeight="1" x14ac:dyDescent="0.3">
      <c r="A1" s="47" t="s">
        <v>212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</row>
    <row r="3" spans="1:14" x14ac:dyDescent="0.3">
      <c r="A3" s="7" t="s">
        <v>59</v>
      </c>
      <c r="B3" s="8" t="s">
        <v>60</v>
      </c>
      <c r="C3" s="8" t="s">
        <v>61</v>
      </c>
      <c r="D3" s="8" t="s">
        <v>62</v>
      </c>
      <c r="E3" s="8" t="s">
        <v>63</v>
      </c>
      <c r="F3" s="8" t="s">
        <v>64</v>
      </c>
      <c r="G3" s="8" t="s">
        <v>65</v>
      </c>
      <c r="H3" s="8" t="s">
        <v>66</v>
      </c>
      <c r="I3" s="8" t="s">
        <v>67</v>
      </c>
      <c r="J3" s="8" t="s">
        <v>68</v>
      </c>
      <c r="K3" s="8" t="s">
        <v>69</v>
      </c>
      <c r="L3" s="8" t="s">
        <v>70</v>
      </c>
      <c r="M3" s="8" t="s">
        <v>71</v>
      </c>
      <c r="N3" s="8" t="s">
        <v>72</v>
      </c>
    </row>
    <row r="4" spans="1:14" x14ac:dyDescent="0.3">
      <c r="A4" s="46" t="s">
        <v>213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</row>
    <row r="5" spans="1:14" x14ac:dyDescent="0.3">
      <c r="A5" s="1" t="s">
        <v>214</v>
      </c>
      <c r="B5" s="9">
        <f>'Sales Forecast'!B24</f>
        <v>0</v>
      </c>
      <c r="C5" s="9">
        <f>'Sales Forecast'!C24</f>
        <v>0</v>
      </c>
      <c r="D5" s="9">
        <f>'Sales Forecast'!D24</f>
        <v>0</v>
      </c>
      <c r="E5" s="9">
        <f>'Sales Forecast'!E24</f>
        <v>0</v>
      </c>
      <c r="F5" s="9">
        <f>'Sales Forecast'!F24</f>
        <v>0</v>
      </c>
      <c r="G5" s="9">
        <f>'Sales Forecast'!G24</f>
        <v>0</v>
      </c>
      <c r="H5" s="9">
        <f>'Sales Forecast'!H24</f>
        <v>0</v>
      </c>
      <c r="I5" s="9">
        <f>'Sales Forecast'!I24</f>
        <v>0</v>
      </c>
      <c r="J5" s="9">
        <f>'Sales Forecast'!J24</f>
        <v>0</v>
      </c>
      <c r="K5" s="9">
        <f>'Sales Forecast'!K24</f>
        <v>0</v>
      </c>
      <c r="L5" s="9">
        <f>'Sales Forecast'!L24</f>
        <v>0</v>
      </c>
      <c r="M5" s="9">
        <f>'Sales Forecast'!M24</f>
        <v>0</v>
      </c>
      <c r="N5" s="9">
        <f>SUM(B5:M5)</f>
        <v>0</v>
      </c>
    </row>
    <row r="6" spans="1:14" x14ac:dyDescent="0.3">
      <c r="A6" s="1" t="s">
        <v>215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9">
        <f>SUM(B6:M6)</f>
        <v>0</v>
      </c>
    </row>
    <row r="7" spans="1:14" x14ac:dyDescent="0.3">
      <c r="A7" s="1" t="s">
        <v>216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9">
        <f>SUM(B7:M7)</f>
        <v>0</v>
      </c>
    </row>
    <row r="8" spans="1:14" x14ac:dyDescent="0.3">
      <c r="A8" s="1" t="s">
        <v>217</v>
      </c>
      <c r="B8" s="9">
        <f>IF(Setup!$B$9="Yes",B5/11,0)</f>
        <v>0</v>
      </c>
      <c r="C8" s="9">
        <f>IF(Setup!$B$9="Yes",C5/11,0)</f>
        <v>0</v>
      </c>
      <c r="D8" s="9">
        <f>IF(Setup!$B$9="Yes",D5/11,0)</f>
        <v>0</v>
      </c>
      <c r="E8" s="9">
        <f>IF(Setup!$B$9="Yes",E5/11,0)</f>
        <v>0</v>
      </c>
      <c r="F8" s="9">
        <f>IF(Setup!$B$9="Yes",F5/11,0)</f>
        <v>0</v>
      </c>
      <c r="G8" s="9">
        <f>IF(Setup!$B$9="Yes",G5/11,0)</f>
        <v>0</v>
      </c>
      <c r="H8" s="9">
        <f>IF(Setup!$B$9="Yes",H5/11,0)</f>
        <v>0</v>
      </c>
      <c r="I8" s="9">
        <f>IF(Setup!$B$9="Yes",I5/11,0)</f>
        <v>0</v>
      </c>
      <c r="J8" s="9">
        <f>IF(Setup!$B$9="Yes",J5/11,0)</f>
        <v>0</v>
      </c>
      <c r="K8" s="9">
        <f>IF(Setup!$B$9="Yes",K5/11,0)</f>
        <v>0</v>
      </c>
      <c r="L8" s="9">
        <f>IF(Setup!$B$9="Yes",L5/11,0)</f>
        <v>0</v>
      </c>
      <c r="M8" s="9">
        <f>IF(Setup!$B$9="Yes",M5/11,0)</f>
        <v>0</v>
      </c>
      <c r="N8" s="9">
        <f>SUM(B8:M8)</f>
        <v>0</v>
      </c>
    </row>
    <row r="9" spans="1:14" x14ac:dyDescent="0.3">
      <c r="A9" s="10" t="s">
        <v>218</v>
      </c>
      <c r="B9" s="11">
        <f t="shared" ref="B9:M9" si="0">B5+B6+B7</f>
        <v>0</v>
      </c>
      <c r="C9" s="11">
        <f t="shared" si="0"/>
        <v>0</v>
      </c>
      <c r="D9" s="11">
        <f t="shared" si="0"/>
        <v>0</v>
      </c>
      <c r="E9" s="11">
        <f t="shared" si="0"/>
        <v>0</v>
      </c>
      <c r="F9" s="11">
        <f t="shared" si="0"/>
        <v>0</v>
      </c>
      <c r="G9" s="11">
        <f t="shared" si="0"/>
        <v>0</v>
      </c>
      <c r="H9" s="11">
        <f t="shared" si="0"/>
        <v>0</v>
      </c>
      <c r="I9" s="11">
        <f t="shared" si="0"/>
        <v>0</v>
      </c>
      <c r="J9" s="11">
        <f t="shared" si="0"/>
        <v>0</v>
      </c>
      <c r="K9" s="11">
        <f t="shared" si="0"/>
        <v>0</v>
      </c>
      <c r="L9" s="11">
        <f t="shared" si="0"/>
        <v>0</v>
      </c>
      <c r="M9" s="11">
        <f t="shared" si="0"/>
        <v>0</v>
      </c>
      <c r="N9" s="11">
        <f>SUM(B9:M9)</f>
        <v>0</v>
      </c>
    </row>
    <row r="11" spans="1:14" x14ac:dyDescent="0.3">
      <c r="A11" s="46" t="s">
        <v>219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</row>
    <row r="12" spans="1:14" x14ac:dyDescent="0.3">
      <c r="A12" s="1" t="s">
        <v>220</v>
      </c>
      <c r="B12" s="9">
        <f>'Sales Forecast'!B39</f>
        <v>0</v>
      </c>
      <c r="C12" s="9">
        <f>'Sales Forecast'!C39</f>
        <v>0</v>
      </c>
      <c r="D12" s="9">
        <f>'Sales Forecast'!D39</f>
        <v>0</v>
      </c>
      <c r="E12" s="9">
        <f>'Sales Forecast'!E39</f>
        <v>0</v>
      </c>
      <c r="F12" s="9">
        <f>'Sales Forecast'!F39</f>
        <v>0</v>
      </c>
      <c r="G12" s="9">
        <f>'Sales Forecast'!G39</f>
        <v>0</v>
      </c>
      <c r="H12" s="9">
        <f>'Sales Forecast'!H39</f>
        <v>0</v>
      </c>
      <c r="I12" s="9">
        <f>'Sales Forecast'!I39</f>
        <v>0</v>
      </c>
      <c r="J12" s="9">
        <f>'Sales Forecast'!J39</f>
        <v>0</v>
      </c>
      <c r="K12" s="9">
        <f>'Sales Forecast'!K39</f>
        <v>0</v>
      </c>
      <c r="L12" s="9">
        <f>'Sales Forecast'!L39</f>
        <v>0</v>
      </c>
      <c r="M12" s="9">
        <f>'Sales Forecast'!M39</f>
        <v>0</v>
      </c>
      <c r="N12" s="9">
        <f>SUM(B12:M12)</f>
        <v>0</v>
      </c>
    </row>
    <row r="13" spans="1:14" x14ac:dyDescent="0.3">
      <c r="A13" s="1" t="s">
        <v>221</v>
      </c>
      <c r="B13" s="9">
        <f>IF(Setup!$B$9="Yes",B12/11,0)</f>
        <v>0</v>
      </c>
      <c r="C13" s="9">
        <f>IF(Setup!$B$9="Yes",C12/11,0)</f>
        <v>0</v>
      </c>
      <c r="D13" s="9">
        <f>IF(Setup!$B$9="Yes",D12/11,0)</f>
        <v>0</v>
      </c>
      <c r="E13" s="9">
        <f>IF(Setup!$B$9="Yes",E12/11,0)</f>
        <v>0</v>
      </c>
      <c r="F13" s="9">
        <f>IF(Setup!$B$9="Yes",F12/11,0)</f>
        <v>0</v>
      </c>
      <c r="G13" s="9">
        <f>IF(Setup!$B$9="Yes",G12/11,0)</f>
        <v>0</v>
      </c>
      <c r="H13" s="9">
        <f>IF(Setup!$B$9="Yes",H12/11,0)</f>
        <v>0</v>
      </c>
      <c r="I13" s="9">
        <f>IF(Setup!$B$9="Yes",I12/11,0)</f>
        <v>0</v>
      </c>
      <c r="J13" s="9">
        <f>IF(Setup!$B$9="Yes",J12/11,0)</f>
        <v>0</v>
      </c>
      <c r="K13" s="9">
        <f>IF(Setup!$B$9="Yes",K12/11,0)</f>
        <v>0</v>
      </c>
      <c r="L13" s="9">
        <f>IF(Setup!$B$9="Yes",L12/11,0)</f>
        <v>0</v>
      </c>
      <c r="M13" s="9">
        <f>IF(Setup!$B$9="Yes",M12/11,0)</f>
        <v>0</v>
      </c>
      <c r="N13" s="9">
        <f>SUM(B13:M13)</f>
        <v>0</v>
      </c>
    </row>
    <row r="14" spans="1:14" x14ac:dyDescent="0.3">
      <c r="A14" s="23" t="s">
        <v>6</v>
      </c>
      <c r="B14" s="24">
        <f t="shared" ref="B14:N14" si="1">B5-B12</f>
        <v>0</v>
      </c>
      <c r="C14" s="24">
        <f t="shared" si="1"/>
        <v>0</v>
      </c>
      <c r="D14" s="24">
        <f t="shared" si="1"/>
        <v>0</v>
      </c>
      <c r="E14" s="24">
        <f t="shared" si="1"/>
        <v>0</v>
      </c>
      <c r="F14" s="24">
        <f t="shared" si="1"/>
        <v>0</v>
      </c>
      <c r="G14" s="24">
        <f t="shared" si="1"/>
        <v>0</v>
      </c>
      <c r="H14" s="24">
        <f t="shared" si="1"/>
        <v>0</v>
      </c>
      <c r="I14" s="24">
        <f t="shared" si="1"/>
        <v>0</v>
      </c>
      <c r="J14" s="24">
        <f t="shared" si="1"/>
        <v>0</v>
      </c>
      <c r="K14" s="24">
        <f t="shared" si="1"/>
        <v>0</v>
      </c>
      <c r="L14" s="24">
        <f t="shared" si="1"/>
        <v>0</v>
      </c>
      <c r="M14" s="24">
        <f t="shared" si="1"/>
        <v>0</v>
      </c>
      <c r="N14" s="24">
        <f t="shared" si="1"/>
        <v>0</v>
      </c>
    </row>
    <row r="15" spans="1:14" x14ac:dyDescent="0.3">
      <c r="A15" s="49" t="s">
        <v>222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</row>
    <row r="17" spans="1:14" x14ac:dyDescent="0.3">
      <c r="A17" s="46" t="s">
        <v>223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</row>
    <row r="18" spans="1:14" x14ac:dyDescent="0.3">
      <c r="A18" s="1" t="s">
        <v>8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9">
        <f>SUM(B18:M18)</f>
        <v>0</v>
      </c>
    </row>
    <row r="19" spans="1:14" x14ac:dyDescent="0.3">
      <c r="A19" s="1" t="s">
        <v>9</v>
      </c>
      <c r="B19" s="9">
        <f>'Marketing Plan'!B26</f>
        <v>0</v>
      </c>
      <c r="C19" s="9">
        <f>'Marketing Plan'!C26</f>
        <v>0</v>
      </c>
      <c r="D19" s="9">
        <f>'Marketing Plan'!D26</f>
        <v>0</v>
      </c>
      <c r="E19" s="9">
        <f>'Marketing Plan'!E26</f>
        <v>0</v>
      </c>
      <c r="F19" s="9">
        <f>'Marketing Plan'!F26</f>
        <v>0</v>
      </c>
      <c r="G19" s="9">
        <f>'Marketing Plan'!G26</f>
        <v>0</v>
      </c>
      <c r="H19" s="9">
        <f>'Marketing Plan'!H26</f>
        <v>0</v>
      </c>
      <c r="I19" s="9">
        <f>'Marketing Plan'!I26</f>
        <v>0</v>
      </c>
      <c r="J19" s="9">
        <f>'Marketing Plan'!J26</f>
        <v>0</v>
      </c>
      <c r="K19" s="9">
        <f>'Marketing Plan'!K26</f>
        <v>0</v>
      </c>
      <c r="L19" s="9">
        <f>'Marketing Plan'!L26</f>
        <v>0</v>
      </c>
      <c r="M19" s="9">
        <f>'Marketing Plan'!M26</f>
        <v>0</v>
      </c>
      <c r="N19" s="9">
        <f>'Marketing Plan'!O26</f>
        <v>0</v>
      </c>
    </row>
    <row r="20" spans="1:14" x14ac:dyDescent="0.3">
      <c r="A20" s="1" t="s">
        <v>10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9">
        <f t="shared" ref="N20:N37" si="2">SUM(B20:M20)</f>
        <v>0</v>
      </c>
    </row>
    <row r="21" spans="1:14" x14ac:dyDescent="0.3">
      <c r="A21" s="1" t="s">
        <v>11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9">
        <f t="shared" si="2"/>
        <v>0</v>
      </c>
    </row>
    <row r="22" spans="1:14" x14ac:dyDescent="0.3">
      <c r="A22" s="1" t="s">
        <v>12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9">
        <f t="shared" si="2"/>
        <v>0</v>
      </c>
    </row>
    <row r="23" spans="1:14" x14ac:dyDescent="0.3">
      <c r="A23" s="1" t="s">
        <v>13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9">
        <f t="shared" si="2"/>
        <v>0</v>
      </c>
    </row>
    <row r="24" spans="1:14" x14ac:dyDescent="0.3">
      <c r="A24" s="1" t="s">
        <v>14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9">
        <f t="shared" si="2"/>
        <v>0</v>
      </c>
    </row>
    <row r="25" spans="1:14" x14ac:dyDescent="0.3">
      <c r="A25" s="1" t="s">
        <v>15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9">
        <f t="shared" si="2"/>
        <v>0</v>
      </c>
    </row>
    <row r="26" spans="1:14" x14ac:dyDescent="0.3">
      <c r="A26" s="1" t="s">
        <v>16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9">
        <f t="shared" si="2"/>
        <v>0</v>
      </c>
    </row>
    <row r="27" spans="1:14" x14ac:dyDescent="0.3">
      <c r="A27" s="1" t="s">
        <v>17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9">
        <f t="shared" si="2"/>
        <v>0</v>
      </c>
    </row>
    <row r="28" spans="1:14" x14ac:dyDescent="0.3">
      <c r="A28" s="1" t="s">
        <v>18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9">
        <f t="shared" si="2"/>
        <v>0</v>
      </c>
    </row>
    <row r="29" spans="1:14" x14ac:dyDescent="0.3">
      <c r="A29" s="1" t="s">
        <v>19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9">
        <f t="shared" si="2"/>
        <v>0</v>
      </c>
    </row>
    <row r="30" spans="1:14" x14ac:dyDescent="0.3">
      <c r="A30" s="1" t="s">
        <v>20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9">
        <f t="shared" si="2"/>
        <v>0</v>
      </c>
    </row>
    <row r="31" spans="1:14" x14ac:dyDescent="0.3">
      <c r="A31" s="1" t="s">
        <v>21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9">
        <f t="shared" si="2"/>
        <v>0</v>
      </c>
    </row>
    <row r="32" spans="1:14" x14ac:dyDescent="0.3">
      <c r="A32" s="1" t="s">
        <v>22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9">
        <f t="shared" si="2"/>
        <v>0</v>
      </c>
    </row>
    <row r="33" spans="1:14" x14ac:dyDescent="0.3">
      <c r="A33" s="1" t="s">
        <v>23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9">
        <f t="shared" si="2"/>
        <v>0</v>
      </c>
    </row>
    <row r="34" spans="1:14" x14ac:dyDescent="0.3">
      <c r="A34" s="1" t="s">
        <v>24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9">
        <f t="shared" si="2"/>
        <v>0</v>
      </c>
    </row>
    <row r="35" spans="1:14" x14ac:dyDescent="0.3">
      <c r="A35" s="1" t="s">
        <v>25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9">
        <f t="shared" si="2"/>
        <v>0</v>
      </c>
    </row>
    <row r="36" spans="1:14" x14ac:dyDescent="0.3">
      <c r="A36" s="1" t="s">
        <v>224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9">
        <f t="shared" si="2"/>
        <v>0</v>
      </c>
    </row>
    <row r="37" spans="1:14" x14ac:dyDescent="0.3">
      <c r="A37" s="1" t="s">
        <v>225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9">
        <f t="shared" si="2"/>
        <v>0</v>
      </c>
    </row>
    <row r="38" spans="1:14" x14ac:dyDescent="0.3">
      <c r="A38" s="10" t="s">
        <v>226</v>
      </c>
      <c r="B38" s="11">
        <f t="shared" ref="B38:N38" si="3">SUM(B18:B37)</f>
        <v>0</v>
      </c>
      <c r="C38" s="11">
        <f t="shared" si="3"/>
        <v>0</v>
      </c>
      <c r="D38" s="11">
        <f t="shared" si="3"/>
        <v>0</v>
      </c>
      <c r="E38" s="11">
        <f t="shared" si="3"/>
        <v>0</v>
      </c>
      <c r="F38" s="11">
        <f t="shared" si="3"/>
        <v>0</v>
      </c>
      <c r="G38" s="11">
        <f t="shared" si="3"/>
        <v>0</v>
      </c>
      <c r="H38" s="11">
        <f t="shared" si="3"/>
        <v>0</v>
      </c>
      <c r="I38" s="11">
        <f t="shared" si="3"/>
        <v>0</v>
      </c>
      <c r="J38" s="11">
        <f t="shared" si="3"/>
        <v>0</v>
      </c>
      <c r="K38" s="11">
        <f t="shared" si="3"/>
        <v>0</v>
      </c>
      <c r="L38" s="11">
        <f t="shared" si="3"/>
        <v>0</v>
      </c>
      <c r="M38" s="11">
        <f t="shared" si="3"/>
        <v>0</v>
      </c>
      <c r="N38" s="11">
        <f t="shared" si="3"/>
        <v>0</v>
      </c>
    </row>
    <row r="40" spans="1:14" x14ac:dyDescent="0.3">
      <c r="A40" s="46" t="s">
        <v>227</v>
      </c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</row>
    <row r="41" spans="1:14" x14ac:dyDescent="0.3">
      <c r="A41" s="10" t="s">
        <v>228</v>
      </c>
      <c r="B41" s="11">
        <f t="shared" ref="B41:N41" si="4">B12+B38</f>
        <v>0</v>
      </c>
      <c r="C41" s="11">
        <f t="shared" si="4"/>
        <v>0</v>
      </c>
      <c r="D41" s="11">
        <f t="shared" si="4"/>
        <v>0</v>
      </c>
      <c r="E41" s="11">
        <f t="shared" si="4"/>
        <v>0</v>
      </c>
      <c r="F41" s="11">
        <f t="shared" si="4"/>
        <v>0</v>
      </c>
      <c r="G41" s="11">
        <f t="shared" si="4"/>
        <v>0</v>
      </c>
      <c r="H41" s="11">
        <f t="shared" si="4"/>
        <v>0</v>
      </c>
      <c r="I41" s="11">
        <f t="shared" si="4"/>
        <v>0</v>
      </c>
      <c r="J41" s="11">
        <f t="shared" si="4"/>
        <v>0</v>
      </c>
      <c r="K41" s="11">
        <f t="shared" si="4"/>
        <v>0</v>
      </c>
      <c r="L41" s="11">
        <f t="shared" si="4"/>
        <v>0</v>
      </c>
      <c r="M41" s="11">
        <f t="shared" si="4"/>
        <v>0</v>
      </c>
      <c r="N41" s="11">
        <f t="shared" si="4"/>
        <v>0</v>
      </c>
    </row>
    <row r="42" spans="1:14" x14ac:dyDescent="0.3">
      <c r="A42" s="10" t="s">
        <v>229</v>
      </c>
      <c r="B42" s="11">
        <f t="shared" ref="B42:N42" si="5">B9-B41</f>
        <v>0</v>
      </c>
      <c r="C42" s="11">
        <f t="shared" si="5"/>
        <v>0</v>
      </c>
      <c r="D42" s="11">
        <f t="shared" si="5"/>
        <v>0</v>
      </c>
      <c r="E42" s="11">
        <f t="shared" si="5"/>
        <v>0</v>
      </c>
      <c r="F42" s="11">
        <f t="shared" si="5"/>
        <v>0</v>
      </c>
      <c r="G42" s="11">
        <f t="shared" si="5"/>
        <v>0</v>
      </c>
      <c r="H42" s="11">
        <f t="shared" si="5"/>
        <v>0</v>
      </c>
      <c r="I42" s="11">
        <f t="shared" si="5"/>
        <v>0</v>
      </c>
      <c r="J42" s="11">
        <f t="shared" si="5"/>
        <v>0</v>
      </c>
      <c r="K42" s="11">
        <f t="shared" si="5"/>
        <v>0</v>
      </c>
      <c r="L42" s="11">
        <f t="shared" si="5"/>
        <v>0</v>
      </c>
      <c r="M42" s="11">
        <f t="shared" si="5"/>
        <v>0</v>
      </c>
      <c r="N42" s="11">
        <f t="shared" si="5"/>
        <v>0</v>
      </c>
    </row>
    <row r="43" spans="1:14" x14ac:dyDescent="0.3">
      <c r="A43" s="1" t="s">
        <v>230</v>
      </c>
      <c r="B43" s="9">
        <f t="shared" ref="B43:N43" si="6">B8-B13</f>
        <v>0</v>
      </c>
      <c r="C43" s="9">
        <f t="shared" si="6"/>
        <v>0</v>
      </c>
      <c r="D43" s="9">
        <f t="shared" si="6"/>
        <v>0</v>
      </c>
      <c r="E43" s="9">
        <f t="shared" si="6"/>
        <v>0</v>
      </c>
      <c r="F43" s="9">
        <f t="shared" si="6"/>
        <v>0</v>
      </c>
      <c r="G43" s="9">
        <f t="shared" si="6"/>
        <v>0</v>
      </c>
      <c r="H43" s="9">
        <f t="shared" si="6"/>
        <v>0</v>
      </c>
      <c r="I43" s="9">
        <f t="shared" si="6"/>
        <v>0</v>
      </c>
      <c r="J43" s="9">
        <f t="shared" si="6"/>
        <v>0</v>
      </c>
      <c r="K43" s="9">
        <f t="shared" si="6"/>
        <v>0</v>
      </c>
      <c r="L43" s="9">
        <f t="shared" si="6"/>
        <v>0</v>
      </c>
      <c r="M43" s="9">
        <f t="shared" si="6"/>
        <v>0</v>
      </c>
      <c r="N43" s="9">
        <f t="shared" si="6"/>
        <v>0</v>
      </c>
    </row>
    <row r="44" spans="1:14" x14ac:dyDescent="0.3">
      <c r="A44" s="1" t="s">
        <v>108</v>
      </c>
      <c r="B44" s="6">
        <v>0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1:14" x14ac:dyDescent="0.3">
      <c r="A45" s="10" t="s">
        <v>231</v>
      </c>
      <c r="B45" s="9">
        <f>B44+B42</f>
        <v>0</v>
      </c>
      <c r="C45" s="9">
        <f t="shared" ref="C45:M45" si="7">B45+C42</f>
        <v>0</v>
      </c>
      <c r="D45" s="9">
        <f t="shared" si="7"/>
        <v>0</v>
      </c>
      <c r="E45" s="9">
        <f t="shared" si="7"/>
        <v>0</v>
      </c>
      <c r="F45" s="9">
        <f t="shared" si="7"/>
        <v>0</v>
      </c>
      <c r="G45" s="9">
        <f t="shared" si="7"/>
        <v>0</v>
      </c>
      <c r="H45" s="9">
        <f t="shared" si="7"/>
        <v>0</v>
      </c>
      <c r="I45" s="9">
        <f t="shared" si="7"/>
        <v>0</v>
      </c>
      <c r="J45" s="9">
        <f t="shared" si="7"/>
        <v>0</v>
      </c>
      <c r="K45" s="9">
        <f t="shared" si="7"/>
        <v>0</v>
      </c>
      <c r="L45" s="9">
        <f t="shared" si="7"/>
        <v>0</v>
      </c>
      <c r="M45" s="9">
        <f t="shared" si="7"/>
        <v>0</v>
      </c>
      <c r="N45" s="9">
        <f>M45</f>
        <v>0</v>
      </c>
    </row>
  </sheetData>
  <mergeCells count="6">
    <mergeCell ref="A1:N1"/>
    <mergeCell ref="A17:N17"/>
    <mergeCell ref="A40:N40"/>
    <mergeCell ref="A4:N4"/>
    <mergeCell ref="A15:N15"/>
    <mergeCell ref="A11:N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3"/>
  <sheetViews>
    <sheetView workbookViewId="0">
      <pane ySplit="1" topLeftCell="A20" activePane="bottomLeft" state="frozen"/>
      <selection pane="bottomLeft" activeCell="A44" sqref="A44"/>
    </sheetView>
  </sheetViews>
  <sheetFormatPr defaultRowHeight="14.4" x14ac:dyDescent="0.3"/>
  <cols>
    <col min="1" max="1" width="40" customWidth="1"/>
    <col min="2" max="2" width="20" customWidth="1"/>
  </cols>
  <sheetData>
    <row r="1" spans="1:2" ht="28.05" customHeight="1" x14ac:dyDescent="0.3">
      <c r="A1" s="47" t="s">
        <v>0</v>
      </c>
      <c r="B1" s="45"/>
    </row>
    <row r="3" spans="1:2" x14ac:dyDescent="0.3">
      <c r="A3" s="46" t="s">
        <v>1</v>
      </c>
      <c r="B3" s="45"/>
    </row>
    <row r="4" spans="1:2" x14ac:dyDescent="0.3">
      <c r="A4" s="1" t="s">
        <v>2</v>
      </c>
      <c r="B4" s="9">
        <f>'Sales Forecast'!P16</f>
        <v>1</v>
      </c>
    </row>
    <row r="5" spans="1:2" x14ac:dyDescent="0.3">
      <c r="A5" s="1" t="s">
        <v>3</v>
      </c>
      <c r="B5" s="9">
        <f>'Cash Flow Budget'!N8</f>
        <v>0</v>
      </c>
    </row>
    <row r="6" spans="1:2" x14ac:dyDescent="0.3">
      <c r="A6" s="10" t="s">
        <v>4</v>
      </c>
      <c r="B6" s="11">
        <f>B4-B5</f>
        <v>1</v>
      </c>
    </row>
    <row r="7" spans="1:2" x14ac:dyDescent="0.3">
      <c r="A7" s="1" t="s">
        <v>5</v>
      </c>
      <c r="B7" s="9">
        <f>'Sales Forecast'!P39</f>
        <v>0</v>
      </c>
    </row>
    <row r="8" spans="1:2" x14ac:dyDescent="0.3">
      <c r="A8" s="25" t="s">
        <v>6</v>
      </c>
      <c r="B8" s="24">
        <f>B6-B7</f>
        <v>1</v>
      </c>
    </row>
    <row r="10" spans="1:2" x14ac:dyDescent="0.3">
      <c r="A10" s="46" t="s">
        <v>7</v>
      </c>
      <c r="B10" s="45"/>
    </row>
    <row r="11" spans="1:2" x14ac:dyDescent="0.3">
      <c r="A11" s="1" t="s">
        <v>8</v>
      </c>
      <c r="B11" s="9">
        <f>'Cash Flow Budget'!N18</f>
        <v>0</v>
      </c>
    </row>
    <row r="12" spans="1:2" x14ac:dyDescent="0.3">
      <c r="A12" s="1" t="s">
        <v>9</v>
      </c>
      <c r="B12" s="9">
        <f>'Cash Flow Budget'!N19</f>
        <v>0</v>
      </c>
    </row>
    <row r="13" spans="1:2" x14ac:dyDescent="0.3">
      <c r="A13" s="1" t="s">
        <v>10</v>
      </c>
      <c r="B13" s="9">
        <f>'Cash Flow Budget'!N20</f>
        <v>0</v>
      </c>
    </row>
    <row r="14" spans="1:2" x14ac:dyDescent="0.3">
      <c r="A14" s="1" t="s">
        <v>11</v>
      </c>
      <c r="B14" s="9">
        <f>'Cash Flow Budget'!N21</f>
        <v>0</v>
      </c>
    </row>
    <row r="15" spans="1:2" x14ac:dyDescent="0.3">
      <c r="A15" s="1" t="s">
        <v>12</v>
      </c>
      <c r="B15" s="9">
        <f>'Cash Flow Budget'!N22</f>
        <v>0</v>
      </c>
    </row>
    <row r="16" spans="1:2" x14ac:dyDescent="0.3">
      <c r="A16" s="1" t="s">
        <v>13</v>
      </c>
      <c r="B16" s="9">
        <f>'Cash Flow Budget'!N23</f>
        <v>0</v>
      </c>
    </row>
    <row r="17" spans="1:2" x14ac:dyDescent="0.3">
      <c r="A17" s="1" t="s">
        <v>14</v>
      </c>
      <c r="B17" s="9">
        <f>'Cash Flow Budget'!N24</f>
        <v>0</v>
      </c>
    </row>
    <row r="18" spans="1:2" x14ac:dyDescent="0.3">
      <c r="A18" s="1" t="s">
        <v>15</v>
      </c>
      <c r="B18" s="9">
        <f>'Cash Flow Budget'!N25</f>
        <v>0</v>
      </c>
    </row>
    <row r="19" spans="1:2" x14ac:dyDescent="0.3">
      <c r="A19" s="1" t="s">
        <v>16</v>
      </c>
      <c r="B19" s="9">
        <f>'Cash Flow Budget'!N26</f>
        <v>0</v>
      </c>
    </row>
    <row r="20" spans="1:2" x14ac:dyDescent="0.3">
      <c r="A20" s="1" t="s">
        <v>17</v>
      </c>
      <c r="B20" s="9">
        <f>'Cash Flow Budget'!N27</f>
        <v>0</v>
      </c>
    </row>
    <row r="21" spans="1:2" x14ac:dyDescent="0.3">
      <c r="A21" s="1" t="s">
        <v>18</v>
      </c>
      <c r="B21" s="9">
        <f>'Cash Flow Budget'!N28</f>
        <v>0</v>
      </c>
    </row>
    <row r="22" spans="1:2" x14ac:dyDescent="0.3">
      <c r="A22" s="1" t="s">
        <v>19</v>
      </c>
      <c r="B22" s="9">
        <f>'Cash Flow Budget'!N29</f>
        <v>0</v>
      </c>
    </row>
    <row r="23" spans="1:2" x14ac:dyDescent="0.3">
      <c r="A23" s="1" t="s">
        <v>20</v>
      </c>
      <c r="B23" s="9">
        <f>'Cash Flow Budget'!N30</f>
        <v>0</v>
      </c>
    </row>
    <row r="24" spans="1:2" x14ac:dyDescent="0.3">
      <c r="A24" s="1" t="s">
        <v>21</v>
      </c>
      <c r="B24" s="9">
        <f>'Cash Flow Budget'!N31</f>
        <v>0</v>
      </c>
    </row>
    <row r="25" spans="1:2" x14ac:dyDescent="0.3">
      <c r="A25" s="1" t="s">
        <v>22</v>
      </c>
      <c r="B25" s="9">
        <f>'Cash Flow Budget'!N32</f>
        <v>0</v>
      </c>
    </row>
    <row r="26" spans="1:2" x14ac:dyDescent="0.3">
      <c r="A26" s="1" t="s">
        <v>23</v>
      </c>
      <c r="B26" s="9">
        <f>'Cash Flow Budget'!N33</f>
        <v>0</v>
      </c>
    </row>
    <row r="27" spans="1:2" x14ac:dyDescent="0.3">
      <c r="A27" s="1" t="s">
        <v>24</v>
      </c>
      <c r="B27" s="9">
        <f>'Cash Flow Budget'!N34</f>
        <v>0</v>
      </c>
    </row>
    <row r="28" spans="1:2" x14ac:dyDescent="0.3">
      <c r="A28" s="1" t="s">
        <v>25</v>
      </c>
      <c r="B28" s="9">
        <f>'Cash Flow Budget'!N35</f>
        <v>0</v>
      </c>
    </row>
    <row r="29" spans="1:2" x14ac:dyDescent="0.3">
      <c r="A29" s="1" t="s">
        <v>26</v>
      </c>
      <c r="B29" s="9">
        <f>'Cash Flow Budget'!N36</f>
        <v>0</v>
      </c>
    </row>
    <row r="30" spans="1:2" x14ac:dyDescent="0.3">
      <c r="A30" s="10" t="s">
        <v>27</v>
      </c>
      <c r="B30" s="11">
        <f>SUM(B11:B29)</f>
        <v>0</v>
      </c>
    </row>
    <row r="31" spans="1:2" x14ac:dyDescent="0.3">
      <c r="A31" s="26" t="s">
        <v>28</v>
      </c>
      <c r="B31" s="11">
        <f>B8-B30</f>
        <v>1</v>
      </c>
    </row>
    <row r="32" spans="1:2" x14ac:dyDescent="0.3">
      <c r="A32" s="1" t="s">
        <v>29</v>
      </c>
      <c r="B32" s="9">
        <f>'Cash Flow Budget'!N37</f>
        <v>0</v>
      </c>
    </row>
    <row r="33" spans="1:2" x14ac:dyDescent="0.3">
      <c r="A33" s="25" t="s">
        <v>30</v>
      </c>
      <c r="B33" s="24">
        <f>B31-B32</f>
        <v>1</v>
      </c>
    </row>
    <row r="35" spans="1:2" x14ac:dyDescent="0.3">
      <c r="A35" s="46" t="s">
        <v>31</v>
      </c>
      <c r="B35" s="45"/>
    </row>
    <row r="36" spans="1:2" x14ac:dyDescent="0.3">
      <c r="A36" s="1" t="s">
        <v>32</v>
      </c>
      <c r="B36" s="9">
        <f>MAX(0,B33)</f>
        <v>1</v>
      </c>
    </row>
    <row r="37" spans="1:2" x14ac:dyDescent="0.3">
      <c r="A37" s="1" t="s">
        <v>33</v>
      </c>
      <c r="B37" s="9">
        <f>IF(B36&lt;=0,0,IF(B36&lt;=18200,0,IF(B36&lt;=45500,(B36-18200)*0.19,IF(B36&lt;=120000,5092+(B36-45500)*0.325,IF(B36&lt;=180000,29467+(B36-120000)*0.37,51667+(B36-180000)*0.45)))))</f>
        <v>0</v>
      </c>
    </row>
    <row r="38" spans="1:2" x14ac:dyDescent="0.3">
      <c r="A38" s="1" t="s">
        <v>34</v>
      </c>
      <c r="B38" s="9">
        <f>IF(B36&gt;26000,B36*0.02,0)</f>
        <v>0</v>
      </c>
    </row>
    <row r="39" spans="1:2" x14ac:dyDescent="0.3">
      <c r="A39" s="10" t="s">
        <v>35</v>
      </c>
      <c r="B39" s="11">
        <f>B37+B38</f>
        <v>0</v>
      </c>
    </row>
    <row r="40" spans="1:2" ht="15.6" customHeight="1" x14ac:dyDescent="0.3">
      <c r="A40" s="27" t="s">
        <v>36</v>
      </c>
      <c r="B40" s="28">
        <f>B33-B39</f>
        <v>1</v>
      </c>
    </row>
    <row r="43" spans="1:2" x14ac:dyDescent="0.3">
      <c r="A43" s="45"/>
      <c r="B43" s="45"/>
    </row>
  </sheetData>
  <mergeCells count="5">
    <mergeCell ref="A43:B43"/>
    <mergeCell ref="A10:B10"/>
    <mergeCell ref="A1:B1"/>
    <mergeCell ref="A3:B3"/>
    <mergeCell ref="A35:B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7"/>
  <sheetViews>
    <sheetView workbookViewId="0">
      <pane ySplit="1" topLeftCell="A14" activePane="bottomLeft" state="frozen"/>
      <selection activeCell="A44" sqref="A44"/>
      <selection pane="bottomLeft" activeCell="A44" sqref="A44"/>
    </sheetView>
  </sheetViews>
  <sheetFormatPr defaultRowHeight="14.4" x14ac:dyDescent="0.3"/>
  <cols>
    <col min="1" max="1" width="42" customWidth="1"/>
    <col min="2" max="2" width="22" customWidth="1"/>
    <col min="3" max="3" width="35" customWidth="1"/>
  </cols>
  <sheetData>
    <row r="1" spans="1:3" ht="36" customHeight="1" x14ac:dyDescent="0.3">
      <c r="A1" s="56" t="s">
        <v>232</v>
      </c>
      <c r="B1" s="45"/>
      <c r="C1" s="45"/>
    </row>
    <row r="2" spans="1:3" ht="22.05" customHeight="1" x14ac:dyDescent="0.3">
      <c r="A2" s="49" t="s">
        <v>233</v>
      </c>
      <c r="B2" s="45"/>
      <c r="C2" s="45"/>
    </row>
    <row r="4" spans="1:3" x14ac:dyDescent="0.3">
      <c r="A4" s="46" t="s">
        <v>234</v>
      </c>
      <c r="B4" s="45"/>
      <c r="C4" s="45"/>
    </row>
    <row r="5" spans="1:3" x14ac:dyDescent="0.3">
      <c r="A5" s="1" t="s">
        <v>39</v>
      </c>
      <c r="B5" s="29">
        <f>Setup!B5</f>
        <v>0</v>
      </c>
    </row>
    <row r="6" spans="1:3" x14ac:dyDescent="0.3">
      <c r="A6" s="1" t="s">
        <v>41</v>
      </c>
      <c r="B6" s="29">
        <f>Setup!B6</f>
        <v>0</v>
      </c>
    </row>
    <row r="7" spans="1:3" x14ac:dyDescent="0.3">
      <c r="A7" s="1" t="s">
        <v>45</v>
      </c>
      <c r="B7" s="29" t="str">
        <f>Setup!B8</f>
        <v>Sole Trader</v>
      </c>
    </row>
    <row r="8" spans="1:3" x14ac:dyDescent="0.3">
      <c r="A8" s="1" t="s">
        <v>235</v>
      </c>
      <c r="B8" s="30">
        <f>Setup!B7</f>
        <v>0</v>
      </c>
    </row>
    <row r="9" spans="1:3" x14ac:dyDescent="0.3">
      <c r="A9" s="1" t="s">
        <v>50</v>
      </c>
      <c r="B9" s="29">
        <f>Setup!B9</f>
        <v>0</v>
      </c>
    </row>
    <row r="11" spans="1:3" x14ac:dyDescent="0.3">
      <c r="A11" s="46" t="s">
        <v>236</v>
      </c>
      <c r="B11" s="45"/>
      <c r="C11" s="45"/>
    </row>
    <row r="12" spans="1:3" x14ac:dyDescent="0.3">
      <c r="A12" s="1" t="s">
        <v>237</v>
      </c>
      <c r="B12" s="11">
        <f>'Sales Forecast'!P16</f>
        <v>1</v>
      </c>
    </row>
    <row r="13" spans="1:3" x14ac:dyDescent="0.3">
      <c r="A13" s="1" t="s">
        <v>238</v>
      </c>
      <c r="B13" s="20">
        <f>IFERROR('Profit &amp; Loss'!B8/'Profit &amp; Loss'!B6,0)</f>
        <v>1</v>
      </c>
    </row>
    <row r="14" spans="1:3" x14ac:dyDescent="0.3">
      <c r="A14" s="1" t="s">
        <v>239</v>
      </c>
      <c r="B14" s="11">
        <f>'Cash Flow Budget'!N38</f>
        <v>0</v>
      </c>
    </row>
    <row r="15" spans="1:3" x14ac:dyDescent="0.3">
      <c r="A15" s="1" t="s">
        <v>240</v>
      </c>
      <c r="B15" s="11">
        <f>'Profit &amp; Loss'!B33</f>
        <v>1</v>
      </c>
    </row>
    <row r="16" spans="1:3" x14ac:dyDescent="0.3">
      <c r="A16" s="1" t="s">
        <v>241</v>
      </c>
      <c r="B16" s="11">
        <f>'Profit &amp; Loss'!B40</f>
        <v>1</v>
      </c>
    </row>
    <row r="17" spans="1:3" x14ac:dyDescent="0.3">
      <c r="A17" s="1" t="s">
        <v>242</v>
      </c>
      <c r="B17" s="11">
        <f>'Cash Flow Budget'!M45</f>
        <v>0</v>
      </c>
    </row>
    <row r="18" spans="1:3" x14ac:dyDescent="0.3">
      <c r="A18" s="1"/>
      <c r="B18" s="11"/>
    </row>
    <row r="19" spans="1:3" x14ac:dyDescent="0.3">
      <c r="A19" s="1"/>
      <c r="B19" s="11"/>
    </row>
    <row r="21" spans="1:3" x14ac:dyDescent="0.3">
      <c r="A21" s="46" t="s">
        <v>243</v>
      </c>
      <c r="B21" s="45"/>
      <c r="C21" s="45"/>
    </row>
    <row r="22" spans="1:3" x14ac:dyDescent="0.3">
      <c r="A22" s="1" t="s">
        <v>244</v>
      </c>
      <c r="B22" s="11">
        <f>'Household Budget'!N11</f>
        <v>0</v>
      </c>
    </row>
    <row r="23" spans="1:3" x14ac:dyDescent="0.3">
      <c r="A23" s="1" t="s">
        <v>245</v>
      </c>
      <c r="B23" s="11">
        <f>'Household Budget'!N40</f>
        <v>0</v>
      </c>
    </row>
    <row r="24" spans="1:3" x14ac:dyDescent="0.3">
      <c r="A24" s="1" t="s">
        <v>246</v>
      </c>
      <c r="B24" s="11">
        <f>'Household Budget'!N11-'Household Budget'!N40</f>
        <v>0</v>
      </c>
    </row>
    <row r="26" spans="1:3" x14ac:dyDescent="0.3">
      <c r="A26" s="46"/>
      <c r="B26" s="45"/>
      <c r="C26" s="45"/>
    </row>
    <row r="27" spans="1:3" ht="34.950000000000003" customHeight="1" x14ac:dyDescent="0.3">
      <c r="A27" s="1"/>
      <c r="B27" s="57"/>
      <c r="C27" s="45"/>
    </row>
  </sheetData>
  <mergeCells count="7">
    <mergeCell ref="A11:C11"/>
    <mergeCell ref="A1:C1"/>
    <mergeCell ref="A21:C21"/>
    <mergeCell ref="B27:C27"/>
    <mergeCell ref="A4:C4"/>
    <mergeCell ref="A26:C26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Setup</vt:lpstr>
      <vt:lpstr>Household Budget</vt:lpstr>
      <vt:lpstr>Shared Expenses</vt:lpstr>
      <vt:lpstr>Service Pricing</vt:lpstr>
      <vt:lpstr>Sales Forecast</vt:lpstr>
      <vt:lpstr>Marketing Plan</vt:lpstr>
      <vt:lpstr>Cash Flow Budget</vt:lpstr>
      <vt:lpstr>Profit &amp; Loss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jess hollamby</cp:lastModifiedBy>
  <dcterms:created xsi:type="dcterms:W3CDTF">2026-06-03T07:51:15Z</dcterms:created>
  <dcterms:modified xsi:type="dcterms:W3CDTF">2026-10-28T02:22:34Z</dcterms:modified>
</cp:coreProperties>
</file>